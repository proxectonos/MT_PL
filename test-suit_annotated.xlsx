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<sst xmlns="http://schemas.openxmlformats.org/spreadsheetml/2006/main" count="3034" uniqueCount="1983">
  <si>
    <t xml:space="preserve">"castelan </t>
  </si>
  <si>
    <t xml:space="preserve">galego-ref </t>
  </si>
  <si>
    <t xml:space="preserve">TradutorNos </t>
  </si>
  <si>
    <t xml:space="preserve">CarvalhoFT</t>
  </si>
  <si>
    <t xml:space="preserve">SalamandraTA</t>
  </si>
  <si>
    <t xml:space="preserve">TN</t>
  </si>
  <si>
    <t xml:space="preserve">FT</t>
  </si>
  <si>
    <t xml:space="preserve">Sal</t>
  </si>
  <si>
    <t xml:space="preserve">bleu_TN</t>
  </si>
  <si>
    <t xml:space="preserve">bleu_FT</t>
  </si>
  <si>
    <t xml:space="preserve">bleu_Sal</t>
  </si>
  <si>
    <t xml:space="preserve">comet_TN</t>
  </si>
  <si>
    <t xml:space="preserve">comet_FT</t>
  </si>
  <si>
    <t xml:space="preserve">comet_Sal</t>
  </si>
  <si>
    <t xml:space="preserve">blaser_TN</t>
  </si>
  <si>
    <t xml:space="preserve">blaser_FT</t>
  </si>
  <si>
    <t xml:space="preserve">blaser_Sal</t>
  </si>
  <si>
    <t xml:space="preserve">sim_bleu</t>
  </si>
  <si>
    <t xml:space="preserve">sim_comet</t>
  </si>
  <si>
    <t xml:space="preserve">sim_blaser</t>
  </si>
  <si>
    <t xml:space="preserve">best_metric";</t>
  </si>
  <si>
    <t xml:space="preserve">"La depilación láser es bastante dolorosa. </t>
  </si>
  <si>
    <t xml:space="preserve">A depilación láser é bastante dolorosa. </t>
  </si>
  <si>
    <t xml:space="preserve">A depilación a láser é bastante dolorosa.</t>
  </si>
  <si>
    <t xml:space="preserve">A depilación láser é bastante dolorosa.</t>
  </si>
  <si>
    <t xml:space="preserve">0.9764</t>
  </si>
  <si>
    <t xml:space="preserve">1.0000</t>
  </si>
  <si>
    <t xml:space="preserve">0.9998</t>
  </si>
  <si>
    <t xml:space="preserve">comet";</t>
  </si>
  <si>
    <t xml:space="preserve">"El debate me pareció muy interesante. </t>
  </si>
  <si>
    <t xml:space="preserve">O debate pareceume moi interesante. </t>
  </si>
  <si>
    <t xml:space="preserve">O debate paréceme moi interesante.</t>
  </si>
  <si>
    <t xml:space="preserve">Considerei o debate moi interesante.</t>
  </si>
  <si>
    <t xml:space="preserve">0.8379</t>
  </si>
  <si>
    <t xml:space="preserve">0.8219</t>
  </si>
  <si>
    <t xml:space="preserve">0.8138</t>
  </si>
  <si>
    <t xml:space="preserve">bleu";</t>
  </si>
  <si>
    <t xml:space="preserve">"Su novio no hace nada, hizo ella la cena y también fregó los platos. </t>
  </si>
  <si>
    <t xml:space="preserve">O seu mozo non fai nada, fixo ela a cea e tamén lavou a louza. </t>
  </si>
  <si>
    <t xml:space="preserve">O seu noivo non fai nada, fixo ela a cea e tamén fregou os pratos. </t>
  </si>
  <si>
    <t xml:space="preserve">O seu mozo non fixo nada, fixo ela a cea e tamén fregou os pratos.</t>
  </si>
  <si>
    <t xml:space="preserve">O seu noivo non fixo nada. Ela fixo a cea e tamén fregou os pratos.</t>
  </si>
  <si>
    <t xml:space="preserve">0.9737</t>
  </si>
  <si>
    <t xml:space="preserve">0.8213</t>
  </si>
  <si>
    <t xml:space="preserve">0.8261</t>
  </si>
  <si>
    <t xml:space="preserve">"Su tía siempre le da muchas hortalizas de la huerta. </t>
  </si>
  <si>
    <t xml:space="preserve">A súa tía sempre lle dá moitas hortalizas da horta. </t>
  </si>
  <si>
    <t xml:space="preserve">A súa tía sempre lle dá moitas hortalizas da horta.</t>
  </si>
  <si>
    <t xml:space="preserve">A súa tía sempre lle dá moitas verduras da horta.</t>
  </si>
  <si>
    <t xml:space="preserve">0.9880</t>
  </si>
  <si>
    <t xml:space="preserve">blaser,comet";</t>
  </si>
  <si>
    <t xml:space="preserve">"Me siento un poco mejor que ayer. </t>
  </si>
  <si>
    <t xml:space="preserve">Síntome un pouco mellor que onte. </t>
  </si>
  <si>
    <t xml:space="preserve">Síntome un pouco mellor que onte.</t>
  </si>
  <si>
    <t xml:space="preserve">blaser,bleu,comet";</t>
  </si>
  <si>
    <t xml:space="preserve">"En su casa siguen haciendo el caldo en un pote. </t>
  </si>
  <si>
    <t xml:space="preserve">Na súa casa continúan a facer o caldo nun pote. </t>
  </si>
  <si>
    <t xml:space="preserve">Na súa casa seguen facendo o caldo nun pote. </t>
  </si>
  <si>
    <t xml:space="preserve">Na súa casa seguen facendo o caldo nunha ola.</t>
  </si>
  <si>
    <t xml:space="preserve">Na súa casa aínda cociñan o caldo nun caldeiro.</t>
  </si>
  <si>
    <t xml:space="preserve">0.8247</t>
  </si>
  <si>
    <t xml:space="preserve">0.7993</t>
  </si>
  <si>
    <t xml:space="preserve">0.8231</t>
  </si>
  <si>
    <t xml:space="preserve">"El niño llevó un croque con la esquina de la mesa nueva. </t>
  </si>
  <si>
    <t xml:space="preserve">O neno levou un pote coa esquina da mesa nova. </t>
  </si>
  <si>
    <t xml:space="preserve">O neno levou un croque coa esquina da mesa nova. </t>
  </si>
  <si>
    <t xml:space="preserve">O neno levou un croque coa esquina da mesa nova.</t>
  </si>
  <si>
    <t xml:space="preserve">O neno golpeou a esquina da mesa nova cun croque.</t>
  </si>
  <si>
    <t xml:space="preserve">0.9599</t>
  </si>
  <si>
    <t xml:space="preserve">0.8484</t>
  </si>
  <si>
    <t xml:space="preserve">0.8756</t>
  </si>
  <si>
    <t xml:space="preserve">"Es el momento de izar las velas. </t>
  </si>
  <si>
    <t xml:space="preserve">É o momento de izar as velas. </t>
  </si>
  <si>
    <t xml:space="preserve">É o momento de botar a vela.</t>
  </si>
  <si>
    <t xml:space="preserve">Agora é o momento de izar as velas.</t>
  </si>
  <si>
    <t xml:space="preserve">0.9471</t>
  </si>
  <si>
    <t xml:space="preserve">0.8720</t>
  </si>
  <si>
    <t xml:space="preserve">0.8493</t>
  </si>
  <si>
    <t xml:space="preserve">"Enciende una vela, que se fue la luz. </t>
  </si>
  <si>
    <t xml:space="preserve">Prende unha candea, que se foi a luz. </t>
  </si>
  <si>
    <t xml:space="preserve">Acende unha vela, que se foi a luz. </t>
  </si>
  <si>
    <t xml:space="preserve">Acende unha vela, que se foi a luz.</t>
  </si>
  <si>
    <t xml:space="preserve">Acende unha candea, que a luz se foi.</t>
  </si>
  <si>
    <t xml:space="preserve">0.3644</t>
  </si>
  <si>
    <t xml:space="preserve">0.5950</t>
  </si>
  <si>
    <t xml:space="preserve">0.5680</t>
  </si>
  <si>
    <t xml:space="preserve">"Ha ascendido a general. </t>
  </si>
  <si>
    <t xml:space="preserve">Ascendeu a xeneral. </t>
  </si>
  <si>
    <t xml:space="preserve">Ascendeu a xeneral.</t>
  </si>
  <si>
    <t xml:space="preserve">Foi ascendido a xeneral.</t>
  </si>
  <si>
    <t xml:space="preserve">0.9423</t>
  </si>
  <si>
    <t xml:space="preserve">0.9978</t>
  </si>
  <si>
    <t xml:space="preserve">0.9999</t>
  </si>
  <si>
    <t xml:space="preserve">blaser";</t>
  </si>
  <si>
    <t xml:space="preserve">"En general, no me gustan las películas de miedo. </t>
  </si>
  <si>
    <t xml:space="preserve">En xeral, non me gustan as películas de medo. </t>
  </si>
  <si>
    <t xml:space="preserve">En xeral, non me gustan as películas de medo.</t>
  </si>
  <si>
    <t xml:space="preserve">"La polla se escapó del gallinero. </t>
  </si>
  <si>
    <t xml:space="preserve">A pola escapou do galiñeiro. </t>
  </si>
  <si>
    <t xml:space="preserve">A polla escapou do galiñeiro. </t>
  </si>
  <si>
    <t xml:space="preserve">A galiña escapou do poleiro.</t>
  </si>
  <si>
    <t xml:space="preserve">A galiña escapou do galiñeiro.</t>
  </si>
  <si>
    <t xml:space="preserve">0.6587</t>
  </si>
  <si>
    <t xml:space="preserve">0.8000</t>
  </si>
  <si>
    <t xml:space="preserve">0.7933</t>
  </si>
  <si>
    <t xml:space="preserve">"Iba por la calle cuando de repente un coche se estrelló contra un árbol. </t>
  </si>
  <si>
    <t xml:space="preserve">Ía pola rúa cando de súpeto un coche petou nunha árbore. </t>
  </si>
  <si>
    <t xml:space="preserve">Ía pola rúa cando de súpeto un coche estrelouse contra unha árbore. </t>
  </si>
  <si>
    <t xml:space="preserve">Ía pola rúa cando de súpeto un coche se estrelou contra unha árbore.</t>
  </si>
  <si>
    <t xml:space="preserve">Estaba camiñando pola rúa cando de súpeto un coche chocou contra unha árbore.</t>
  </si>
  <si>
    <t xml:space="preserve">0.7677</t>
  </si>
  <si>
    <t xml:space="preserve">0.8135</t>
  </si>
  <si>
    <t xml:space="preserve">0.8179</t>
  </si>
  <si>
    <t xml:space="preserve">"Vas a tener que elegir, o ella o yo. </t>
  </si>
  <si>
    <t xml:space="preserve">Vas ter que elixir, ou ela ou eu. </t>
  </si>
  <si>
    <t xml:space="preserve">Vas ter que escoller, ou ela ou eu. </t>
  </si>
  <si>
    <t xml:space="preserve">Vas ter que escoller, ou ela ou eu.</t>
  </si>
  <si>
    <t xml:space="preserve">Vas ter que escoller entre ela ou eu.</t>
  </si>
  <si>
    <t xml:space="preserve">0.9755</t>
  </si>
  <si>
    <t xml:space="preserve">"Mi abuela hacía un elixir con sabor a limón que curaba la tos en un día. </t>
  </si>
  <si>
    <t xml:space="preserve">A miña avoa facía un elixir con sabor a limón que curaba a tose nun día. </t>
  </si>
  <si>
    <t xml:space="preserve">A miña avoa facía un elixir con sabor a limón que curaba a tose nun día.</t>
  </si>
  <si>
    <t xml:space="preserve">A miña avoa tiña un elixir con sabor a limón que curaba a tose nun día.</t>
  </si>
  <si>
    <t xml:space="preserve">0.8629</t>
  </si>
  <si>
    <t xml:space="preserve">0.8250</t>
  </si>
  <si>
    <t xml:space="preserve">0.8255</t>
  </si>
  <si>
    <t xml:space="preserve">"Quiero adoptar un perro, pero la propietaria del piso en el que vivo de alquiler no me deja tenerlo. </t>
  </si>
  <si>
    <t xml:space="preserve">Quero adoptar un can, pero a propietaria do piso no que vivo de alugueiro non me deixa telo. </t>
  </si>
  <si>
    <t xml:space="preserve">Quero adoptar un can, pero a propietaria do piso no que vivo de alugueiro non me deixa telo.</t>
  </si>
  <si>
    <t xml:space="preserve">Quero adoptar un can, pero a propietaria do apartamento no que vivo de alugueiro non me deixa telo.</t>
  </si>
  <si>
    <t xml:space="preserve">0.9975</t>
  </si>
  <si>
    <t xml:space="preserve">"En los tiempos de la peseta, esa familia no tenía ni un patacón para comprar el pan, pero ahora son más ricos que nosotros. </t>
  </si>
  <si>
    <t xml:space="preserve">En tempos da peseta, esa familia non tiña nin un can para mercar o pan, pero agora son máis ricos ca nós. </t>
  </si>
  <si>
    <t xml:space="preserve">Nos tempos da peseta, esa familia non tiña nin un patacón para comprar o pan, pero agora son máis ricos ca nós. </t>
  </si>
  <si>
    <t xml:space="preserve">Nos tempos da peseta, esa familia non tiña nin un peso para mercar o pan, pero agora son máis ricos ca nós.</t>
  </si>
  <si>
    <t xml:space="preserve">Nos tempos da peseta, esa familia non tiña nin un patacón para mercar o pan, pero agora son máis ricos ca nós.</t>
  </si>
  <si>
    <t xml:space="preserve">0.9990</t>
  </si>
  <si>
    <t xml:space="preserve">"La falda de flores que compró el sábado le queda muy bien. </t>
  </si>
  <si>
    <t xml:space="preserve">Quédalle moi ben a saia de flores que mercou o sábado. </t>
  </si>
  <si>
    <t xml:space="preserve">A saia de flores que mercou o sábado quédalle moi ben. </t>
  </si>
  <si>
    <t xml:space="preserve">A saia de flores que mercou o sábado queda moi ben.</t>
  </si>
  <si>
    <t xml:space="preserve">A saia con flores que mercou o sábado queda moi ben.</t>
  </si>
  <si>
    <t xml:space="preserve">0.6403</t>
  </si>
  <si>
    <t xml:space="preserve">0.6092</t>
  </si>
  <si>
    <t xml:space="preserve">0.5816</t>
  </si>
  <si>
    <t xml:space="preserve">"Tuvieron que desalojar las casas situadas en la falda del volcán por riesgo de erupción. </t>
  </si>
  <si>
    <t xml:space="preserve">Houbo que desaloxar as casas situadas no pé do volcán por risco de erupción. </t>
  </si>
  <si>
    <t xml:space="preserve">Tiveron que desaloxar as casas situadas na saia do volcán por risco de erupción. </t>
  </si>
  <si>
    <t xml:space="preserve">Tiveron que desaloxar as casas situadas na ladeira do volcán por risco de erupción.</t>
  </si>
  <si>
    <t xml:space="preserve">0.8165</t>
  </si>
  <si>
    <t xml:space="preserve">0.8194</t>
  </si>
  <si>
    <t xml:space="preserve">"Le duele la muñeca de tocar el piano. </t>
  </si>
  <si>
    <t xml:space="preserve">Dóelle o pulso de tocar o piano. </t>
  </si>
  <si>
    <t xml:space="preserve">Dóelle a man de tocar o piano.</t>
  </si>
  <si>
    <t xml:space="preserve">Dóelle a boneca de tocar o piano.</t>
  </si>
  <si>
    <t xml:space="preserve">0.7942</t>
  </si>
  <si>
    <t xml:space="preserve">0.7904</t>
  </si>
  <si>
    <t xml:space="preserve">0.6354</t>
  </si>
  <si>
    <t xml:space="preserve">"Le regaló una muñeca que compró en Luxemburgo. </t>
  </si>
  <si>
    <t xml:space="preserve">Regaloulle unha boneca que mercou en Luxemburgo. </t>
  </si>
  <si>
    <t xml:space="preserve">Regaloulle unha boneca que comprou en Luxemburgo. </t>
  </si>
  <si>
    <t xml:space="preserve">Regaloulle unha boneca que mercou en Luxemburgo.</t>
  </si>
  <si>
    <t xml:space="preserve">0.9623</t>
  </si>
  <si>
    <t xml:space="preserve">"Esa noticia se publicó solo en una revista regional. </t>
  </si>
  <si>
    <t xml:space="preserve">Esa noticia publicouse só nunha revista rexional. </t>
  </si>
  <si>
    <t xml:space="preserve">Esa noticia só se publicou nunha revista rexional.</t>
  </si>
  <si>
    <t xml:space="preserve">A noticia só se publicou nunha revista rexional.</t>
  </si>
  <si>
    <t xml:space="preserve">0.8792</t>
  </si>
  <si>
    <t xml:space="preserve">"Algunos turistas paseaban por los pazos con trajes blancos. </t>
  </si>
  <si>
    <t xml:space="preserve">Algúns turistas paseaban polos pazos con traxes brancos. </t>
  </si>
  <si>
    <t xml:space="preserve">Algunhas persoas paseaban polos pazos con traxes brancos.</t>
  </si>
  <si>
    <t xml:space="preserve">Algúns turistas paseaban polos pazos con traxes brancos.</t>
  </si>
  <si>
    <t xml:space="preserve">0.8896</t>
  </si>
  <si>
    <t xml:space="preserve">0.8248</t>
  </si>
  <si>
    <t xml:space="preserve">0.8490</t>
  </si>
  <si>
    <t xml:space="preserve">"En este paisaje destacan los árboles frutales. </t>
  </si>
  <si>
    <t xml:space="preserve">Nesta paisaxe destacan as árbores froiteiras. </t>
  </si>
  <si>
    <t xml:space="preserve">Neste paisaxe destacan os árbores froiteiras.</t>
  </si>
  <si>
    <t xml:space="preserve">A paisaxe está dominada por árbores froiteiras.</t>
  </si>
  <si>
    <t xml:space="preserve">0.8074</t>
  </si>
  <si>
    <t xml:space="preserve">0.8162</t>
  </si>
  <si>
    <t xml:space="preserve">0.7991</t>
  </si>
  <si>
    <t xml:space="preserve">"Solo lo puedes tirar ahí si es algo orgánico. </t>
  </si>
  <si>
    <t xml:space="preserve">Só o podes tirar aí se é algo orgánico. </t>
  </si>
  <si>
    <t xml:space="preserve">Só o podes tirar alí se é orgánico.</t>
  </si>
  <si>
    <t xml:space="preserve">Só se pode tirar alí se é algo orgánico.</t>
  </si>
  <si>
    <t xml:space="preserve">0.9011</t>
  </si>
  <si>
    <t xml:space="preserve">0.9994</t>
  </si>
  <si>
    <t xml:space="preserve">0.9997</t>
  </si>
  <si>
    <t xml:space="preserve">"Le gustan las zanahorias crudas. </t>
  </si>
  <si>
    <t xml:space="preserve">Gústanlle as cenorias crúas. </t>
  </si>
  <si>
    <t xml:space="preserve">Gústanlle as cenouras crúas. </t>
  </si>
  <si>
    <t xml:space="preserve">Gústanlle as cenorias crúas.</t>
  </si>
  <si>
    <t xml:space="preserve">0.9191</t>
  </si>
  <si>
    <t xml:space="preserve">"¿Quieres ganar un viaje por el mar Mediterráneo? </t>
  </si>
  <si>
    <t xml:space="preserve">Queres gañar unha viaxe polo mar Mediterráneo? </t>
  </si>
  <si>
    <t xml:space="preserve">Queres gañar unha viaxe polo Mediterráneo?</t>
  </si>
  <si>
    <t xml:space="preserve">Queres gañar unha viaxe polo mar Mediterráneo?</t>
  </si>
  <si>
    <t xml:space="preserve">0.9788</t>
  </si>
  <si>
    <t xml:space="preserve">"Llegó tarde al trabajo porque fue a hacer análisis de sangre. </t>
  </si>
  <si>
    <t xml:space="preserve">Chegou tarde ao traballo porque foi facer unha análise de sangue. </t>
  </si>
  <si>
    <t xml:space="preserve">Chegou tarde ao traballo porque foi facer análises de sangue. </t>
  </si>
  <si>
    <t xml:space="preserve">Chegou tarde ao traballo porque foi facer análises de sangue.</t>
  </si>
  <si>
    <t xml:space="preserve">Chegou tarde ao traballo porque fora facer unha análise de sangue.</t>
  </si>
  <si>
    <t xml:space="preserve">"El paisaje es espectacular desde aquí. </t>
  </si>
  <si>
    <t xml:space="preserve">Dende aquí a paisaxe é espectacular. </t>
  </si>
  <si>
    <t xml:space="preserve">A paisaxe é espectacular dende aquí. </t>
  </si>
  <si>
    <t xml:space="preserve">A paisaxe é espectacular desde aquí.</t>
  </si>
  <si>
    <t xml:space="preserve">A paisaxe desde aquí é espectacular.</t>
  </si>
  <si>
    <t xml:space="preserve">bleu,comet";</t>
  </si>
  <si>
    <t xml:space="preserve">"Te va a crecer la nariz con tantas mentiras que cuentas. </t>
  </si>
  <si>
    <t xml:space="preserve">Vaiche crecer o nariz de tantas mentiras que contas. </t>
  </si>
  <si>
    <t xml:space="preserve">Vaiche crecer o nariz con tantas mentiras que contas. </t>
  </si>
  <si>
    <t xml:space="preserve">Vai chegarche a nariz con tantas mentiras que contas.</t>
  </si>
  <si>
    <t xml:space="preserve">O teu nariz crecerá coas mentiras que digas.</t>
  </si>
  <si>
    <t xml:space="preserve">0.6863</t>
  </si>
  <si>
    <t xml:space="preserve">0.8319</t>
  </si>
  <si>
    <t xml:space="preserve">0.8412</t>
  </si>
  <si>
    <t xml:space="preserve">"Sus besos son tan dulces como la miel. </t>
  </si>
  <si>
    <t xml:space="preserve">Os seus bicos son doces coma o mel. </t>
  </si>
  <si>
    <t xml:space="preserve">Os seus bicos son tan doces como o mel. </t>
  </si>
  <si>
    <t xml:space="preserve">Os seus bicos son tan doces coma o mel.</t>
  </si>
  <si>
    <t xml:space="preserve">0.9768</t>
  </si>
  <si>
    <t xml:space="preserve">"¡Pero si aún es un chavalito, no puede ir solo al aeropuerto! </t>
  </si>
  <si>
    <t xml:space="preserve">Pero se aínda é un mociño, non pode ir só ao aeroporto! </t>
  </si>
  <si>
    <t xml:space="preserve">Pero se aínda é un rapaz, non pode ir só ao aeroporto! </t>
  </si>
  <si>
    <t xml:space="preserve">Pero se aínda é un mociño, non pode ir só ao aeroporto!</t>
  </si>
  <si>
    <t xml:space="preserve">Pero se aínda é un rapaz, non pode ir só ao aeroporto!</t>
  </si>
  <si>
    <t xml:space="preserve">0.9929</t>
  </si>
  <si>
    <t xml:space="preserve">"Fuimos a la piscina que acaban de abrir y el agua estaba tirando a caliente, parece que es una piscina climatizada. </t>
  </si>
  <si>
    <t xml:space="preserve">Fomos á piscina que acaban de abrir e a auga estaba quentiña, parece que é unha piscina climatizada. </t>
  </si>
  <si>
    <t xml:space="preserve">Fomos á piscina que acaban de abrir e a auga estaba tirando a quente, parece que é unha piscina climatizada. </t>
  </si>
  <si>
    <t xml:space="preserve">Fomos á piscina que acaban de abrir e a auga estaba tirando a quente, parece que é unha piscina climatizada.</t>
  </si>
  <si>
    <t xml:space="preserve">Fomos á piscina que acababan de abrir e a auga estaba moi quente. Parece que é unha piscina climatizada.</t>
  </si>
  <si>
    <t xml:space="preserve">0.9903</t>
  </si>
  <si>
    <t xml:space="preserve">"Hace el café muy claro, con leche y solo un poco de café. </t>
  </si>
  <si>
    <t xml:space="preserve">Fai o café clariño, con leite e un pouquiño de café. </t>
  </si>
  <si>
    <t xml:space="preserve">Fai o café moi claro, con leite e só un pouco de café. </t>
  </si>
  <si>
    <t xml:space="preserve">Fai o café moi claro, con leite e só un pouco de café.</t>
  </si>
  <si>
    <t xml:space="preserve">"A la pobre la volvieron a ingresar en el hospital. </t>
  </si>
  <si>
    <t xml:space="preserve">Pobriña, volvérona ingresar no hospital. </t>
  </si>
  <si>
    <t xml:space="preserve">Á pobre volvérona ingresar no hospital. </t>
  </si>
  <si>
    <t xml:space="preserve">A pobre volveu ingresar no hospital.</t>
  </si>
  <si>
    <t xml:space="preserve">A pobre volveu ao hospital.</t>
  </si>
  <si>
    <t xml:space="preserve">0.9644</t>
  </si>
  <si>
    <t xml:space="preserve">0.8256</t>
  </si>
  <si>
    <t xml:space="preserve">0.8183</t>
  </si>
  <si>
    <t xml:space="preserve">"Te hace mucha falta comprar ropa nueva. </t>
  </si>
  <si>
    <t xml:space="preserve">Faiche boa faltiña mercar roupa nova. </t>
  </si>
  <si>
    <t xml:space="preserve">Faiche falta moita roupa nova. </t>
  </si>
  <si>
    <t xml:space="preserve">Faiche moita falta mercar roupa nova.</t>
  </si>
  <si>
    <t xml:space="preserve">Realmente necesitas mercar roupa nova.</t>
  </si>
  <si>
    <t xml:space="preserve">0.6484</t>
  </si>
  <si>
    <t xml:space="preserve">0.6188</t>
  </si>
  <si>
    <t xml:space="preserve">0.6027</t>
  </si>
  <si>
    <t xml:space="preserve">"Salió por pies en cuanto escuchó el timbre. </t>
  </si>
  <si>
    <t xml:space="preserve">Saíu a fume de carozo en canto escoitou o timbre. </t>
  </si>
  <si>
    <t xml:space="preserve">Saíu por pés en canto escoitou o timbre. </t>
  </si>
  <si>
    <t xml:space="preserve">Saíu a fume de carozo cando escoitou o timbre.</t>
  </si>
  <si>
    <t xml:space="preserve">Cando escoitou o timbre, saíu correndo.</t>
  </si>
  <si>
    <t xml:space="preserve">0.9089</t>
  </si>
  <si>
    <t xml:space="preserve">0.9811</t>
  </si>
  <si>
    <t xml:space="preserve">0.9906</t>
  </si>
  <si>
    <t xml:space="preserve">"Ayer me puse hecha una sopa por ir a la fiesta, pero mereció la pena. </t>
  </si>
  <si>
    <t xml:space="preserve">Onte me puxen coma un pito por ir á festa, pero mereceu a pena. </t>
  </si>
  <si>
    <t xml:space="preserve">Onte púxenme coma un pito por ir á festa, pero mereceu a pena. </t>
  </si>
  <si>
    <t xml:space="preserve">Aínda que onte me puxen coma unha Madalena por ir á festa, mereceu a pena.</t>
  </si>
  <si>
    <t xml:space="preserve">Onte preparei unha sopa para ir á festa, pero mereceu a pena.</t>
  </si>
  <si>
    <t xml:space="preserve">0.7651</t>
  </si>
  <si>
    <t xml:space="preserve">0.6871</t>
  </si>
  <si>
    <t xml:space="preserve">0.6036</t>
  </si>
  <si>
    <t xml:space="preserve">"Por llevar ese modo de vida, ahora está a dos velas. </t>
  </si>
  <si>
    <t xml:space="preserve">Por levar ese modo de vida, agora anda á miñoca. </t>
  </si>
  <si>
    <t xml:space="preserve">Por levar ese modo de vida, agora está a velas vir. </t>
  </si>
  <si>
    <t xml:space="preserve">Por levar ese modo de vida, agora está a velas vir.</t>
  </si>
  <si>
    <t xml:space="preserve">Por levar ese estilo de vida, agora está a dúas velas.</t>
  </si>
  <si>
    <t xml:space="preserve">0.9424</t>
  </si>
  <si>
    <t xml:space="preserve">0.7952</t>
  </si>
  <si>
    <t xml:space="preserve">0.7697</t>
  </si>
  <si>
    <t xml:space="preserve">"Pedro es más listo que el hambre. </t>
  </si>
  <si>
    <t xml:space="preserve">O Pedro é agudo coma un allo. </t>
  </si>
  <si>
    <t xml:space="preserve">Pedro é listo coma un allo. </t>
  </si>
  <si>
    <t xml:space="preserve">Pedro é listo coma un allo.</t>
  </si>
  <si>
    <t xml:space="preserve">Pedro é máis listo ca a fame.</t>
  </si>
  <si>
    <t xml:space="preserve">0.9154</t>
  </si>
  <si>
    <t xml:space="preserve">0.9931</t>
  </si>
  <si>
    <t xml:space="preserve">0.9992</t>
  </si>
  <si>
    <t xml:space="preserve">"No tenéis razón ninguno de los dos y punto en boca. </t>
  </si>
  <si>
    <t xml:space="preserve">Non tedes razón ningún dos dous e morra o conto. </t>
  </si>
  <si>
    <t xml:space="preserve">Non tedes razón ningún dos dous e punto en boca. </t>
  </si>
  <si>
    <t xml:space="preserve">Non tedes razón ningunha dos dous e punto.</t>
  </si>
  <si>
    <t xml:space="preserve">Non tedes razón ningún dos dous e punto en boca.</t>
  </si>
  <si>
    <t xml:space="preserve">0.2853</t>
  </si>
  <si>
    <t xml:space="preserve">0.6062</t>
  </si>
  <si>
    <t xml:space="preserve">0.5517</t>
  </si>
  <si>
    <t xml:space="preserve">"¡No esperaba verte aquí, pero vaya, al final has venido! </t>
  </si>
  <si>
    <t xml:space="preserve">Non esperaba verte aquí, pero vaites, viñeches ao final! </t>
  </si>
  <si>
    <t xml:space="preserve">Non esperaba verte aquí, mais vaia, ao final viñeches! </t>
  </si>
  <si>
    <t xml:space="preserve">Non esperaba verte aquí, pero vaia, ao final viñeches!</t>
  </si>
  <si>
    <t xml:space="preserve">0.9941</t>
  </si>
  <si>
    <t xml:space="preserve">"Pero si el problema no es el dinero... ¡Ah, ya sé a qué te refieres! </t>
  </si>
  <si>
    <t xml:space="preserve">Pero se o problema non son os cartos... Ah, xa sei a que te refires! </t>
  </si>
  <si>
    <t xml:space="preserve">Pero se o problema non é o diñeiro... Ah, xa sei a que te refires! </t>
  </si>
  <si>
    <t xml:space="preserve">Pero se o problema non é o diñeiro... aí é cando sei a quen me refiro.</t>
  </si>
  <si>
    <t xml:space="preserve">Pero se o problema non é o diñeiro... Ah, xa sei a que te refires!</t>
  </si>
  <si>
    <t xml:space="preserve">0.9704</t>
  </si>
  <si>
    <t xml:space="preserve">0.8420</t>
  </si>
  <si>
    <t xml:space="preserve">0.8735</t>
  </si>
  <si>
    <t xml:space="preserve">"¡Ay, Dios mío, está loco! </t>
  </si>
  <si>
    <t xml:space="preserve">Ai mi madriña, está tolo! </t>
  </si>
  <si>
    <t xml:space="preserve">Meu Deus, el é louco! </t>
  </si>
  <si>
    <t xml:space="preserve">Ai, Deus meu, está tolo!</t>
  </si>
  <si>
    <t xml:space="preserve">Oh, meu Deus, está tolo!</t>
  </si>
  <si>
    <t xml:space="preserve">0.6789</t>
  </si>
  <si>
    <t xml:space="preserve">0.5813</t>
  </si>
  <si>
    <t xml:space="preserve">0.5758</t>
  </si>
  <si>
    <t xml:space="preserve">"¡Dile al conductor del autobús que me espere, eh! </t>
  </si>
  <si>
    <t xml:space="preserve">Dille ao condutor do autobús que espere por min, eh! </t>
  </si>
  <si>
    <t xml:space="preserve">Dille ao conductor do autobús que me espere, eh!</t>
  </si>
  <si>
    <t xml:space="preserve">Dille ao condutor do autobús que me espere, eh!</t>
  </si>
  <si>
    <t xml:space="preserve">0.8899</t>
  </si>
  <si>
    <t xml:space="preserve">"¡Hala, qué listo eres! </t>
  </si>
  <si>
    <t xml:space="preserve">Ala, que listo es! </t>
  </si>
  <si>
    <t xml:space="preserve">Hala, que listo es! </t>
  </si>
  <si>
    <t xml:space="preserve">Vaia, que listo es!</t>
  </si>
  <si>
    <t xml:space="preserve">Que listo es!</t>
  </si>
  <si>
    <t xml:space="preserve">0.9578</t>
  </si>
  <si>
    <t xml:space="preserve">0.9993</t>
  </si>
  <si>
    <t xml:space="preserve">"Se busca a los testigos del accidente. </t>
  </si>
  <si>
    <t xml:space="preserve">Búscase ás testemuñas do accidente. </t>
  </si>
  <si>
    <t xml:space="preserve">Procúrase ás testemuñas do accidente. </t>
  </si>
  <si>
    <t xml:space="preserve">Búscase aos testemuñas do accidente.</t>
  </si>
  <si>
    <t xml:space="preserve">Búscanse testemuñas do accidente.</t>
  </si>
  <si>
    <t xml:space="preserve">0.7037</t>
  </si>
  <si>
    <t xml:space="preserve">0.5861</t>
  </si>
  <si>
    <t xml:space="preserve">"En esta ciudad se respeta mucho a las personas mayores. </t>
  </si>
  <si>
    <t xml:space="preserve">Nesta cidade respétase moito ás persoas maiores. </t>
  </si>
  <si>
    <t xml:space="preserve">Nesta cidade respéctase moito ás persoas maiores. </t>
  </si>
  <si>
    <t xml:space="preserve">Nesta cidade respectan moito ás persoas maiores.</t>
  </si>
  <si>
    <t xml:space="preserve">Os anciáns son moi respectados nesta cidade.</t>
  </si>
  <si>
    <t xml:space="preserve">0.8590</t>
  </si>
  <si>
    <t xml:space="preserve">0.9981</t>
  </si>
  <si>
    <t xml:space="preserve">0.9965</t>
  </si>
  <si>
    <t xml:space="preserve">"Se entrevistó a los candidatos para entrar en el proyecto. </t>
  </si>
  <si>
    <t xml:space="preserve">Entrevistouse aos candidatos para entrar no proxecto. </t>
  </si>
  <si>
    <t xml:space="preserve">Entrevistáronse os candidatos para entrar no proxecto.</t>
  </si>
  <si>
    <t xml:space="preserve">Os candidatos foron entrevistados para participar no proxecto.</t>
  </si>
  <si>
    <t xml:space="preserve">0.8861</t>
  </si>
  <si>
    <t xml:space="preserve">0.9991</t>
  </si>
  <si>
    <t xml:space="preserve">"Con el calor que hace, se está mejor en casa. </t>
  </si>
  <si>
    <t xml:space="preserve">Coa calor que vai, estase mellor na casa. </t>
  </si>
  <si>
    <t xml:space="preserve">Coa calor que fai, estase mellor na casa. </t>
  </si>
  <si>
    <t xml:space="preserve">Coa calor que fai, está mellor na casa.</t>
  </si>
  <si>
    <t xml:space="preserve">Coa calor que fai, é mellor quedar na casa.</t>
  </si>
  <si>
    <t xml:space="preserve">0.7977</t>
  </si>
  <si>
    <t xml:space="preserve">0.8148</t>
  </si>
  <si>
    <t xml:space="preserve">0.8164</t>
  </si>
  <si>
    <t xml:space="preserve">"Se trabaja mejor solo que acompañado. </t>
  </si>
  <si>
    <t xml:space="preserve">Trabállase mellor só que acompañado. </t>
  </si>
  <si>
    <t xml:space="preserve">Traballa mellor só que acompañado. </t>
  </si>
  <si>
    <t xml:space="preserve">Trabállase mellor soa que acompañada.</t>
  </si>
  <si>
    <t xml:space="preserve">Un traballa mellor só que acompañado.</t>
  </si>
  <si>
    <t xml:space="preserve">0.6171</t>
  </si>
  <si>
    <t xml:space="preserve">0.5729</t>
  </si>
  <si>
    <t xml:space="preserve">0.5518</t>
  </si>
  <si>
    <t xml:space="preserve">"Ayer me duché con agua fría. </t>
  </si>
  <si>
    <t xml:space="preserve">Onte ducheime con auga fría. </t>
  </si>
  <si>
    <t xml:space="preserve">Onte duchei con auga fría. </t>
  </si>
  <si>
    <t xml:space="preserve">Ayer ducháronme con auga fría.</t>
  </si>
  <si>
    <t xml:space="preserve">Onte tomei unha ducha con auga fría.</t>
  </si>
  <si>
    <t xml:space="preserve">0.4432</t>
  </si>
  <si>
    <t xml:space="preserve">0.5895</t>
  </si>
  <si>
    <t xml:space="preserve">0.5933</t>
  </si>
  <si>
    <t xml:space="preserve">"Tú te peinas antes de vestirte, pero yo lo hago al revés. </t>
  </si>
  <si>
    <t xml:space="preserve">Ti peitéaste antes de vestirte, pero eu o fago ao revés. </t>
  </si>
  <si>
    <t xml:space="preserve">Ti peíñaste antes de vestirte, pero eu fágoo ao revés. </t>
  </si>
  <si>
    <t xml:space="preserve">Ti enches o peito antes de vestirte, pero eu fágoo ao revés.</t>
  </si>
  <si>
    <t xml:space="preserve">Ti peitas antes de vestirte, pero eu fago o contrario.</t>
  </si>
  <si>
    <t xml:space="preserve">0.0000</t>
  </si>
  <si>
    <t xml:space="preserve">"Ella se mira al espejo diez veces al día por lo menos. </t>
  </si>
  <si>
    <t xml:space="preserve">Ela mírase no espello dez veces ao día polo menos. </t>
  </si>
  <si>
    <t xml:space="preserve">Ela mírase ao espello dez veces ao día polo menos. </t>
  </si>
  <si>
    <t xml:space="preserve">Ela mírase no espello dez veces ao día polo menos.</t>
  </si>
  <si>
    <t xml:space="preserve">Mírase ao espello polo menos dez veces ao día.</t>
  </si>
  <si>
    <t xml:space="preserve">0.9215</t>
  </si>
  <si>
    <t xml:space="preserve">0.9995</t>
  </si>
  <si>
    <t xml:space="preserve">"Nos pusimos pálidos del susto. </t>
  </si>
  <si>
    <t xml:space="preserve">Puxémonos pálidos do susto. </t>
  </si>
  <si>
    <t xml:space="preserve">Púxoseme pálido o susto.</t>
  </si>
  <si>
    <t xml:space="preserve">Quedamos pálidos de medo.</t>
  </si>
  <si>
    <t xml:space="preserve">0.7734</t>
  </si>
  <si>
    <t xml:space="preserve">0.8857</t>
  </si>
  <si>
    <t xml:space="preserve">0.8628</t>
  </si>
  <si>
    <t xml:space="preserve">"Os pusisteis morenos en la playa. </t>
  </si>
  <si>
    <t xml:space="preserve">Puxéstesvos morenos na praia. </t>
  </si>
  <si>
    <t xml:space="preserve">Puxésteis morenos na praia.</t>
  </si>
  <si>
    <t xml:space="preserve">Quedastes morenos na praia.</t>
  </si>
  <si>
    <t xml:space="preserve">0.7266</t>
  </si>
  <si>
    <t xml:space="preserve">0.6480</t>
  </si>
  <si>
    <t xml:space="preserve">0.5993</t>
  </si>
  <si>
    <t xml:space="preserve">"Se divorciaron hace tres meses. </t>
  </si>
  <si>
    <t xml:space="preserve">Divorciáronse hai tres meses. </t>
  </si>
  <si>
    <t xml:space="preserve">Separáronse hai tres meses.</t>
  </si>
  <si>
    <t xml:space="preserve">Divorciáronse hai tres meses.</t>
  </si>
  <si>
    <t xml:space="preserve">0.9040</t>
  </si>
  <si>
    <t xml:space="preserve">0.8302</t>
  </si>
  <si>
    <t xml:space="preserve">0.8514</t>
  </si>
  <si>
    <t xml:space="preserve">"Fui a Algeciras el año pasado. </t>
  </si>
  <si>
    <t xml:space="preserve">Fun a Alxeciras o ano pasado. </t>
  </si>
  <si>
    <t xml:space="preserve">Fun a Alxeciras o ano pasado.</t>
  </si>
  <si>
    <t xml:space="preserve">Eu fun a Algeciras o ano pasado.</t>
  </si>
  <si>
    <t xml:space="preserve">0.9350</t>
  </si>
  <si>
    <t xml:space="preserve">0.9950</t>
  </si>
  <si>
    <t xml:space="preserve">"Me gustaría ir a Nueva York algún día. </t>
  </si>
  <si>
    <t xml:space="preserve">Gustaríame ir a Nova York algún día. </t>
  </si>
  <si>
    <t xml:space="preserve">Gustaríame ir a Nova York algún día.</t>
  </si>
  <si>
    <t xml:space="preserve">"Mis abuelos vivieron en Alemania hace muchos años. </t>
  </si>
  <si>
    <t xml:space="preserve">Os meus avós viviron en Alemaña hai moitos anos. </t>
  </si>
  <si>
    <t xml:space="preserve">Os meus avós viviron en Alemaña hai moitos anos.</t>
  </si>
  <si>
    <t xml:space="preserve">"En Oleiros los hoteles son muy baratos. </t>
  </si>
  <si>
    <t xml:space="preserve">En Oleiros os hoteis son moi baratos. </t>
  </si>
  <si>
    <t xml:space="preserve">En Oleiros os hoteis son moi baratos.</t>
  </si>
  <si>
    <t xml:space="preserve">Os hoteis en Oleiros son moi económicos.</t>
  </si>
  <si>
    <t xml:space="preserve">0.8690</t>
  </si>
  <si>
    <t xml:space="preserve">0.9973</t>
  </si>
  <si>
    <t xml:space="preserve">"Mi mejor amiga es de Pontedeume. </t>
  </si>
  <si>
    <t xml:space="preserve">A miña mellor amiga é de Pontedeume. </t>
  </si>
  <si>
    <t xml:space="preserve">A miña mellor amiga é de Pontedeume.</t>
  </si>
  <si>
    <t xml:space="preserve">"Juan es uno de los investigadores del proyecto. </t>
  </si>
  <si>
    <t xml:space="preserve">Juan é un dos investigadores do proxecto. </t>
  </si>
  <si>
    <t xml:space="preserve">Juan é un dos investigadores do proxecto.</t>
  </si>
  <si>
    <t xml:space="preserve">"Xoán, mi compañero de piso, ahora trabaja como traductor autónomo. </t>
  </si>
  <si>
    <t xml:space="preserve">Xoán, o meu compañeiro de piso, agora traballa coma tradutor autónomo. </t>
  </si>
  <si>
    <t xml:space="preserve">Xoán, o meu compañeiro de piso, agora traballa como tradutor autónomo. </t>
  </si>
  <si>
    <t xml:space="preserve">Xoán, o meu compañeiro de piso, agora traballa como tradutor autónomo.</t>
  </si>
  <si>
    <t xml:space="preserve">Xoan, o meu compañeiro de piso, agora traballa como tradutor autónomo.</t>
  </si>
  <si>
    <t xml:space="preserve">0.9987</t>
  </si>
  <si>
    <t xml:space="preserve">"Cristóbal Colón descubrió América en el año 1492. </t>
  </si>
  <si>
    <t xml:space="preserve">Cristovo Colón descubriu América no ano 1492. </t>
  </si>
  <si>
    <t xml:space="preserve">Cristovo Colón descubriu América no ano 1492.</t>
  </si>
  <si>
    <t xml:space="preserve">Cristóbal Colón descubriu América en 1492.</t>
  </si>
  <si>
    <t xml:space="preserve">0.9093</t>
  </si>
  <si>
    <t xml:space="preserve">"Juan Pablo II recibió el título de papa en el año 1978. </t>
  </si>
  <si>
    <t xml:space="preserve">Xoán Paulo II recibiu o título de papa no ano 1978. </t>
  </si>
  <si>
    <t xml:space="preserve">Xoán Paulo II recibiu o título de papa no ano 1978.</t>
  </si>
  <si>
    <t xml:space="preserve">Xoán Paulo II recibiu o título de Papa en 1978.</t>
  </si>
  <si>
    <t xml:space="preserve">0.9741</t>
  </si>
  <si>
    <t xml:space="preserve">"El novio de Noelia se llama Javier. </t>
  </si>
  <si>
    <t xml:space="preserve">O mozo da Noelia chámase Javier. </t>
  </si>
  <si>
    <t xml:space="preserve">O noivo de Noelia chámase Javier. </t>
  </si>
  <si>
    <t xml:space="preserve">O mozo de Noelia chámase Javier.</t>
  </si>
  <si>
    <t xml:space="preserve">O noivo de Noelia chámase Javier.</t>
  </si>
  <si>
    <t xml:space="preserve">0.9984</t>
  </si>
  <si>
    <t xml:space="preserve">"La Axencia para a Calidade do Sistema Universitario de Galicia (ACSUG) se creó hace 21 años. </t>
  </si>
  <si>
    <t xml:space="preserve">A Axencia para a Calidade do Sistema Universitario de Galicia (ACSUG) foi creada hai 21 anos. </t>
  </si>
  <si>
    <t xml:space="preserve">A Axencia para a Calidade do Sistema Universitario de Galicia (ACSUG) creouse hai 21 anos. </t>
  </si>
  <si>
    <t xml:space="preserve">A Axencia para a Calidade do Sistema Universitario de Galicia (ACSUG) creouse hai 21 anos.</t>
  </si>
  <si>
    <t xml:space="preserve">"La Universidade de Santiago de Compostela es la universidade más antigua de Galicia. </t>
  </si>
  <si>
    <t xml:space="preserve">A Universidade de Santiago de Compostela é a universidade máis antiga de Galicia. </t>
  </si>
  <si>
    <t xml:space="preserve">A Universidade de Santiago de Compostela é a universidade máis antiga de Galicia.</t>
  </si>
  <si>
    <t xml:space="preserve">"Ha ganado un premio de la Asociación de Traducción y Adaptación Audiovisual de España (ATRAE). </t>
  </si>
  <si>
    <t xml:space="preserve">Gañou un premio da Asociación de Traducción y Adaptación Audiovisual de España (ATRAE). </t>
  </si>
  <si>
    <t xml:space="preserve">Gañou un premio da Asociación de Tradución e Adaptación Audiovisual de España (ATRAE). </t>
  </si>
  <si>
    <t xml:space="preserve">Gañou un premio da Asociación de Tradución e Adaptación Audiovisual de España (ATRAE).</t>
  </si>
  <si>
    <t xml:space="preserve">"La Universidad de Navarra (UNAV) ha organizado un seminario muy interesante. </t>
  </si>
  <si>
    <t xml:space="preserve">A Universidad de Navarra (UNAV) organizou un seminario moi interesante. </t>
  </si>
  <si>
    <t xml:space="preserve">A Universidade de Navarra (UNAV) organizou un seminario moi interesante. </t>
  </si>
  <si>
    <t xml:space="preserve">A Universidade de Navarra (UNAV) organizou un seminario moi interesante.</t>
  </si>
  <si>
    <t xml:space="preserve">A Universidade de Navarra ( UNAV ) organizou un seminario moi interesante.</t>
  </si>
  <si>
    <t xml:space="preserve">"Va a venir al evento un representante de la Consellería de Cultura, Educación, Formación Profesional y Universidad. </t>
  </si>
  <si>
    <t xml:space="preserve">Vai vir ao evento un representante da Consellería de Cultura, Educación, Formación Profesional e Universidade. </t>
  </si>
  <si>
    <t xml:space="preserve">Vai vir ao evento un representante da Consellería de Cultura, Educación, Formación Profesional e Universidade.</t>
  </si>
  <si>
    <t xml:space="preserve">Un representante da Consellería de Cultura, Educación, Formación Profesional e Universidade asistirá ao evento.</t>
  </si>
  <si>
    <t xml:space="preserve">0.9868</t>
  </si>
  <si>
    <t xml:space="preserve">0.9938</t>
  </si>
  <si>
    <t xml:space="preserve">"La Asociación Galega de Artesáns vela por los derechos de los artesanos en Galicia. </t>
  </si>
  <si>
    <t xml:space="preserve">A Asociación Galega de Artesáns vela polos dereitos dos artesáns en Galicia. </t>
  </si>
  <si>
    <t xml:space="preserve">A Asociación Galega de Artesáns vela polos dereitos dos artesáns en Galicia.</t>
  </si>
  <si>
    <t xml:space="preserve">A Asociación Galega de Artesáns defende os dereitos dos artesáns en Galicia.</t>
  </si>
  <si>
    <t xml:space="preserve">0.9851</t>
  </si>
  <si>
    <t xml:space="preserve">"Te digo que no vayas a la playa sin echar crema solar. </t>
  </si>
  <si>
    <t xml:space="preserve">Non te me vaias á praia sen botar crema solar. </t>
  </si>
  <si>
    <t xml:space="preserve">Dígoche que non vaias á praia sen botar crema solar. </t>
  </si>
  <si>
    <t xml:space="preserve">Dígoche que non vaias á praia sen poñer crema solar.</t>
  </si>
  <si>
    <t xml:space="preserve">Dígache que non vaias á praia sen crema solar.</t>
  </si>
  <si>
    <t xml:space="preserve">0.8641</t>
  </si>
  <si>
    <t xml:space="preserve">0.8229</t>
  </si>
  <si>
    <t xml:space="preserve">0.8333</t>
  </si>
  <si>
    <t xml:space="preserve">"No ganas para móviles con este chaval, este cada mes rompe uno. </t>
  </si>
  <si>
    <t xml:space="preserve">Non gañas para móbiles con ese rapaz, cada mes rómpeche un. </t>
  </si>
  <si>
    <t xml:space="preserve">Non gañas para móbiles con este rapaz, este cada mes rompe un. </t>
  </si>
  <si>
    <t xml:space="preserve">Non teñen ganas para móbiles con este mozo, este cada mes rompe un.</t>
  </si>
  <si>
    <t xml:space="preserve">Non gañas para móbiles con este rapaz, cada mes rompe un.</t>
  </si>
  <si>
    <t xml:space="preserve">0.9590</t>
  </si>
  <si>
    <t xml:space="preserve">0.8637</t>
  </si>
  <si>
    <t xml:space="preserve">0.8511</t>
  </si>
  <si>
    <t xml:space="preserve">"¡Mira que nuestro hijo aprobó todo y eso que está en la universidad! </t>
  </si>
  <si>
    <t xml:space="preserve">O noso fillo aprobounos todo e mira que está na universidade! </t>
  </si>
  <si>
    <t xml:space="preserve">Mira que o noso fillo aprobou todo e iso que está na universidade! </t>
  </si>
  <si>
    <t xml:space="preserve">Mira que o noso fillo aprobou todo e iso que está na universidade!</t>
  </si>
  <si>
    <t xml:space="preserve">Mira que o noso fillo aprobou todo e está na universidade!</t>
  </si>
  <si>
    <t xml:space="preserve">0.8529</t>
  </si>
  <si>
    <t xml:space="preserve">0.8014</t>
  </si>
  <si>
    <t xml:space="preserve">0.8204</t>
  </si>
  <si>
    <t xml:space="preserve">"Pues el novio de mi hija se gasta el dinero todos los meses en juegos. </t>
  </si>
  <si>
    <t xml:space="preserve">O mozo da miña filla gástalle os cartos todos os meses en xogos. </t>
  </si>
  <si>
    <t xml:space="preserve">Pois o noivo da miña filla gasta o diñeiro todos os meses en xogos. </t>
  </si>
  <si>
    <t xml:space="preserve">Pois o mozo da miña filla gasta o diñeiro todos os meses en xogos.</t>
  </si>
  <si>
    <t xml:space="preserve">O noivo da miña filla gasta o diñeiro todos os meses en xogos.</t>
  </si>
  <si>
    <t xml:space="preserve">0.9974</t>
  </si>
  <si>
    <t xml:space="preserve">0.9996</t>
  </si>
  <si>
    <t xml:space="preserve">"Pues la hija de los vecinos se gasta el dinero en ir de viaje y no ahorra nada. </t>
  </si>
  <si>
    <t xml:space="preserve">A filla dos veciños gástalles os cartos en ir de viaxe e non aforra nada. </t>
  </si>
  <si>
    <t xml:space="preserve">Pois a filla dos veciños gástase os cartos en ir de viaxe e non aforra nada. </t>
  </si>
  <si>
    <t xml:space="preserve">Pois a filla dos veciños gasta o diñeiro en viaxar e non aforra nada.</t>
  </si>
  <si>
    <t xml:space="preserve">0.9274</t>
  </si>
  <si>
    <t xml:space="preserve">"Es que el niño no aprueba inglés porque no lo queréis mandar a clases particulares. </t>
  </si>
  <si>
    <t xml:space="preserve">O neno non vos aprobou inglés porque non o queredes mandar a clases particulares. </t>
  </si>
  <si>
    <t xml:space="preserve">É que o neno non aproba inglés porque non o queredes mandar a clases particulares. </t>
  </si>
  <si>
    <t xml:space="preserve">É que o neno non aproba inglés porque non o queredes mandar a clases particulares.</t>
  </si>
  <si>
    <t xml:space="preserve">É que o neno non aproba inglés porque non o queredes enviar a clases particulares.</t>
  </si>
  <si>
    <t xml:space="preserve">0.9846</t>
  </si>
  <si>
    <t xml:space="preserve">"Esa luz tan blanca le puede producir molestias en la vista. </t>
  </si>
  <si>
    <t xml:space="preserve">Esa luz tan branca pódelle producir molestias na vista. </t>
  </si>
  <si>
    <t xml:space="preserve">Esa luz tan branca pode producir molestias na vista.</t>
  </si>
  <si>
    <t xml:space="preserve">A luz branca pode cegarlle.</t>
  </si>
  <si>
    <t xml:space="preserve">0.9784</t>
  </si>
  <si>
    <t xml:space="preserve">0.9087</t>
  </si>
  <si>
    <t xml:space="preserve">0.8915</t>
  </si>
  <si>
    <t xml:space="preserve">"Lo colocó encima de la mesa. </t>
  </si>
  <si>
    <t xml:space="preserve">Colocouno enriba da mesa. </t>
  </si>
  <si>
    <t xml:space="preserve">Colocouno encima da mesa. </t>
  </si>
  <si>
    <t xml:space="preserve">Colocouno enriba da mesa.</t>
  </si>
  <si>
    <t xml:space="preserve">0.9486</t>
  </si>
  <si>
    <t xml:space="preserve">"Lo cogió con mucho cuidado. </t>
  </si>
  <si>
    <t xml:space="preserve">Colleuno moi a modiño. </t>
  </si>
  <si>
    <t xml:space="preserve">Colleuno con moito coidado. </t>
  </si>
  <si>
    <t xml:space="preserve">Collino con moito coidado.</t>
  </si>
  <si>
    <t xml:space="preserve">Colleuno con moito coidado.</t>
  </si>
  <si>
    <t xml:space="preserve">0.8595</t>
  </si>
  <si>
    <t xml:space="preserve">0.8531</t>
  </si>
  <si>
    <t xml:space="preserve">0.8526</t>
  </si>
  <si>
    <t xml:space="preserve">"Lo hicieron cada uno a su manera. </t>
  </si>
  <si>
    <t xml:space="preserve">Fixérono cada un ao seu xeito. </t>
  </si>
  <si>
    <t xml:space="preserve">Fixérono cada un á súa maneira. </t>
  </si>
  <si>
    <t xml:space="preserve">Fixérono cada un á súa maneira.</t>
  </si>
  <si>
    <t xml:space="preserve">Cada un fíxoo á súa maneira.</t>
  </si>
  <si>
    <t xml:space="preserve">0.9178</t>
  </si>
  <si>
    <t xml:space="preserve">"Varios le dijeron que estaban de acuerdo y por eso lo quiere organizar sin hacer una votación. </t>
  </si>
  <si>
    <t xml:space="preserve">Varios dixéronlle que estaban de acordo e por iso o quere organizar sen facer unha votación. </t>
  </si>
  <si>
    <t xml:space="preserve">Varios lle dixeron que estaban de acordo e por iso quere organizar sen facer unha votación.</t>
  </si>
  <si>
    <t xml:space="preserve">Varias persoas dixéronlle que estaban de acordo, polo que quere organizalo sen necesidade de realizar unha votación.</t>
  </si>
  <si>
    <t xml:space="preserve">0.7147</t>
  </si>
  <si>
    <t xml:space="preserve">0.8207</t>
  </si>
  <si>
    <t xml:space="preserve">0.8109</t>
  </si>
  <si>
    <t xml:space="preserve">"Ciertos miembros de la asociación le debieron dinero durante meses. </t>
  </si>
  <si>
    <t xml:space="preserve">Certos membros da asociación debéronlle cartos durante meses. </t>
  </si>
  <si>
    <t xml:space="preserve">Certos membros da asociación debéronlle diñeiro durante meses. </t>
  </si>
  <si>
    <t xml:space="preserve">Algúns membros da asociación déronlle cartos durante meses.</t>
  </si>
  <si>
    <t xml:space="preserve">Certos membros da asociación debíanlle cartos desde había meses.</t>
  </si>
  <si>
    <t xml:space="preserve">0.8095</t>
  </si>
  <si>
    <t xml:space="preserve">0.8160</t>
  </si>
  <si>
    <t xml:space="preserve">0.8499</t>
  </si>
  <si>
    <t xml:space="preserve">"¿Dónde lo cogió? </t>
  </si>
  <si>
    <t xml:space="preserve">Onde o colleu? </t>
  </si>
  <si>
    <t xml:space="preserve">Onde o colleu?</t>
  </si>
  <si>
    <t xml:space="preserve">"Si lo hubiese comprado cuando se lo dije, ahora no se quedaba sin él. </t>
  </si>
  <si>
    <t xml:space="preserve">Se o mercase cando llo dixen agora non quedaba sen el. </t>
  </si>
  <si>
    <t xml:space="preserve">Se o tivese comprado cando llo dixen, agora non quedaba sen el. </t>
  </si>
  <si>
    <t xml:space="preserve">Se o mercase cando lle dixen, agora non quedaba sen el.</t>
  </si>
  <si>
    <t xml:space="preserve">Se o comprase cando llo dixen, agora non quedaría sen el.</t>
  </si>
  <si>
    <t xml:space="preserve">0.6407</t>
  </si>
  <si>
    <t xml:space="preserve">0.8043</t>
  </si>
  <si>
    <t xml:space="preserve">0.8180</t>
  </si>
  <si>
    <t xml:space="preserve">"Alguien le tiene que decir que no puede hacer eso. </t>
  </si>
  <si>
    <t xml:space="preserve">Alguén lle ten que dicir que non pode facer iso. </t>
  </si>
  <si>
    <t xml:space="preserve">Alguén ten que lle dicir que non pode facer iso. </t>
  </si>
  <si>
    <t xml:space="preserve">Alguén lle ten que dicir que non pode facer iso.</t>
  </si>
  <si>
    <t xml:space="preserve">Alguén ten que dicirlle que non pode facer iso.</t>
  </si>
  <si>
    <t xml:space="preserve">0.9670</t>
  </si>
  <si>
    <t xml:space="preserve">"No lo hizo a propósito. </t>
  </si>
  <si>
    <t xml:space="preserve">Non o fixo a propósito. </t>
  </si>
  <si>
    <t xml:space="preserve">Non o fixo de propósito. </t>
  </si>
  <si>
    <t xml:space="preserve">Non foi por azar.</t>
  </si>
  <si>
    <t xml:space="preserve">Non o fixo intencionadamente.</t>
  </si>
  <si>
    <t xml:space="preserve">0.9795</t>
  </si>
  <si>
    <t xml:space="preserve">0.8939</t>
  </si>
  <si>
    <t xml:space="preserve">0.8940</t>
  </si>
  <si>
    <t xml:space="preserve">"¡Qué bien le vino el viaje! </t>
  </si>
  <si>
    <t xml:space="preserve">Que ben lle veu a viaxe! </t>
  </si>
  <si>
    <t xml:space="preserve">Que ben lle veu a viaxe!</t>
  </si>
  <si>
    <t xml:space="preserve">"Cuando te lo trajo, dijo que te iba a gustar mucho. </t>
  </si>
  <si>
    <t xml:space="preserve">Cando cho trouxo, dixo que te ía gustar moito. </t>
  </si>
  <si>
    <t xml:space="preserve">Cando cho trouxo, dixo que che ía gustar moito. </t>
  </si>
  <si>
    <t xml:space="preserve">Cando cho trouxo, dixo que che ía gustar moito.</t>
  </si>
  <si>
    <t xml:space="preserve">"Estoy enfadada porque me mandó comprarlo y ahora dice que no lo quiere. </t>
  </si>
  <si>
    <t xml:space="preserve">Estou enfadada porque mo mandou mercar e agora di que non o quere. </t>
  </si>
  <si>
    <t xml:space="preserve">Estou anoxada porque me mandou mercalo e agora di que non o quere. </t>
  </si>
  <si>
    <t xml:space="preserve">Estou furiosa porque me mandou mercalo e agora di que non o quere.</t>
  </si>
  <si>
    <t xml:space="preserve">Estou enfadada porque me mandou mercalo e agora di que non o quere.</t>
  </si>
  <si>
    <t xml:space="preserve">0.9983</t>
  </si>
  <si>
    <t xml:space="preserve">"¡Cuánto la tiene que querer para perdonarle eso! </t>
  </si>
  <si>
    <t xml:space="preserve">Canto a ten que querer para perdonarlle iso! </t>
  </si>
  <si>
    <t xml:space="preserve">Canto a ten que querer para lle perdoar iso! </t>
  </si>
  <si>
    <t xml:space="preserve">Canto a quere para perdoarlle iso!</t>
  </si>
  <si>
    <t xml:space="preserve">Canto a debe querer para perdoarlle iso!</t>
  </si>
  <si>
    <t xml:space="preserve">0.8318</t>
  </si>
  <si>
    <t xml:space="preserve">0.9932</t>
  </si>
  <si>
    <t xml:space="preserve">0.9935</t>
  </si>
  <si>
    <t xml:space="preserve">"¿Cómo nos las va a pagar, en mano o por transferencia? </t>
  </si>
  <si>
    <t xml:space="preserve">Como nolas vai pagar, en man ou por transferencia? </t>
  </si>
  <si>
    <t xml:space="preserve">Como nos vai pagar, en man ou por transferencia? </t>
  </si>
  <si>
    <t xml:space="preserve">Como nos as vai pagar, en man ou por transferencia?</t>
  </si>
  <si>
    <t xml:space="preserve">Como nos vai pagar, en man ou por transferencia?</t>
  </si>
  <si>
    <t xml:space="preserve">"Nunca os va a decir la verdad sobre lo que pasó en aquel viaje. </t>
  </si>
  <si>
    <t xml:space="preserve">Nunca vos vai dicir a verdade sobre o que pasou naquela viaxe. </t>
  </si>
  <si>
    <t xml:space="preserve">Nunca o vai dicir a verdade sobre o que pasou naquel viaxe.</t>
  </si>
  <si>
    <t xml:space="preserve">Nunca vos dirá a verdade sobre o que pasou nesa viaxe.</t>
  </si>
  <si>
    <t xml:space="preserve">0.8198</t>
  </si>
  <si>
    <t xml:space="preserve">0.8290</t>
  </si>
  <si>
    <t xml:space="preserve">0.8354</t>
  </si>
  <si>
    <t xml:space="preserve">"¡Jamás lo podría imaginar! </t>
  </si>
  <si>
    <t xml:space="preserve">Xamais o podería imaxinar! </t>
  </si>
  <si>
    <t xml:space="preserve">Nunca o podería imaxinar! </t>
  </si>
  <si>
    <t xml:space="preserve">Nunca o podería imaxinar!</t>
  </si>
  <si>
    <t xml:space="preserve">Nunca o imaxinaría!</t>
  </si>
  <si>
    <t xml:space="preserve">0.8959</t>
  </si>
  <si>
    <t xml:space="preserve">"¡Que te parta un rayo! </t>
  </si>
  <si>
    <t xml:space="preserve">Mal raio te parta! </t>
  </si>
  <si>
    <t xml:space="preserve">Que che parta un raio! </t>
  </si>
  <si>
    <t xml:space="preserve">Que te parta un raio!</t>
  </si>
  <si>
    <t xml:space="preserve">Que che caia un raio!</t>
  </si>
  <si>
    <t xml:space="preserve">0.8016</t>
  </si>
  <si>
    <t xml:space="preserve">0.6732</t>
  </si>
  <si>
    <t xml:space="preserve">0.6029</t>
  </si>
  <si>
    <t xml:space="preserve">"Pudo ser ella, o quizá se lo dijo Manuel, que también lo sabía. </t>
  </si>
  <si>
    <t xml:space="preserve">Puido ser ela, ou quizais llo dixo o Manuel, que tamén o sabía. </t>
  </si>
  <si>
    <t xml:space="preserve">Puido ser ela, ou quizais llo dixo Manuel, que tamén o sabía. </t>
  </si>
  <si>
    <t xml:space="preserve">Puido ser ela, ou quizais se o dixo Manuel, que tamén o sabía.</t>
  </si>
  <si>
    <t xml:space="preserve">Puido ser ela, ou quizais llo dixo Manuel, que tamén o sabía.</t>
  </si>
  <si>
    <t xml:space="preserve">0.8565</t>
  </si>
  <si>
    <t xml:space="preserve">0.8249</t>
  </si>
  <si>
    <t xml:space="preserve">0.8210</t>
  </si>
  <si>
    <t xml:space="preserve">"Tal vez les guste la tarta de Santiago. </t>
  </si>
  <si>
    <t xml:space="preserve">Talvez lles guste a torta de Santiago. </t>
  </si>
  <si>
    <t xml:space="preserve">Talvez lles guste a torta de Santiago.</t>
  </si>
  <si>
    <t xml:space="preserve">Tal vez lles guste a torta de Santiago.</t>
  </si>
  <si>
    <t xml:space="preserve">0.9900</t>
  </si>
  <si>
    <t xml:space="preserve">"¿Acaso te ha comido la lengua el gato? </t>
  </si>
  <si>
    <t xml:space="preserve">Seica che comeu a lingua o gato? </t>
  </si>
  <si>
    <t xml:space="preserve">O gato comeuche a lingua? </t>
  </si>
  <si>
    <t xml:space="preserve">Acaso te comeu a lingua o gato?</t>
  </si>
  <si>
    <t xml:space="preserve">O gato comeuche a lingua?</t>
  </si>
  <si>
    <t xml:space="preserve">0.2763</t>
  </si>
  <si>
    <t xml:space="preserve">0.8048</t>
  </si>
  <si>
    <t xml:space="preserve">0.7917</t>
  </si>
  <si>
    <t xml:space="preserve"> Parece ser que la invitó a venir a la boda, parece que van en serio.  1 1 1 45,47 42,31 38,5 0,82 0,81 0,86 4,31 4,37 4,18 0.9977 0.9997 0.9998 blaser</t>
  </si>
  <si>
    <t xml:space="preserve">Disque a invitou a vir á voda, parece que van en serio. </t>
  </si>
  <si>
    <t xml:space="preserve">Parece que a convidou a vir ao casamento, parece que van en serio. </t>
  </si>
  <si>
    <t xml:space="preserve">Parece ser que a convidou a vir ao casamento, parece que van en serio. </t>
  </si>
  <si>
    <t xml:space="preserve">Parece que a convidou a asistir á voda";" parece que van en serio.</t>
  </si>
  <si>
    <t xml:space="preserve">0.9977</t>
  </si>
  <si>
    <t xml:space="preserve">blaser</t>
  </si>
  <si>
    <t xml:space="preserve">"Nadie la va a querer cantar porque es una canción muy lenta. </t>
  </si>
  <si>
    <t xml:space="preserve">Ninguén a vai querer cantar porque é unha canción moi lenta. </t>
  </si>
  <si>
    <t xml:space="preserve">Ninguén a vai querer cantar porque é unha canción moi lenta.</t>
  </si>
  <si>
    <t xml:space="preserve">Ninguén a quererá cantar porque é unha canción moi lenta.</t>
  </si>
  <si>
    <t xml:space="preserve">0.9858</t>
  </si>
  <si>
    <t xml:space="preserve">"Ambas lo hicieron lo mejor que pudieron. </t>
  </si>
  <si>
    <t xml:space="preserve">Ambas as dúas o fixeron o mellor que puideron. </t>
  </si>
  <si>
    <t xml:space="preserve">Ambas o fixeron o mellor que puideron. </t>
  </si>
  <si>
    <t xml:space="preserve">Ambas fixeron o mellor que puideron.</t>
  </si>
  <si>
    <t xml:space="preserve">Ambas o fixeron o mellor que puideron.</t>
  </si>
  <si>
    <t xml:space="preserve">0.8680</t>
  </si>
  <si>
    <t xml:space="preserve">0.8193</t>
  </si>
  <si>
    <t xml:space="preserve">"¡Cualquiera le hace caso! </t>
  </si>
  <si>
    <t xml:space="preserve">Calquera lle fai caso! </t>
  </si>
  <si>
    <t xml:space="preserve">Cualquera lle fai caso!</t>
  </si>
  <si>
    <t xml:space="preserve">Todo o mundo o escoita!</t>
  </si>
  <si>
    <t xml:space="preserve">0.9786</t>
  </si>
  <si>
    <t xml:space="preserve">0.8973</t>
  </si>
  <si>
    <t xml:space="preserve">0.8584</t>
  </si>
  <si>
    <t xml:space="preserve">"Te repito lo que ya te había contado el otro día. </t>
  </si>
  <si>
    <t xml:space="preserve">Repítoche o que xa che contara o outro día. </t>
  </si>
  <si>
    <t xml:space="preserve">Repítovos o que xa vos contara o outro día.</t>
  </si>
  <si>
    <t xml:space="preserve">Repetireiche o que xa che contei o outro día.</t>
  </si>
  <si>
    <t xml:space="preserve">0.8658</t>
  </si>
  <si>
    <t xml:space="preserve">0.8260</t>
  </si>
  <si>
    <t xml:space="preserve">0.8205</t>
  </si>
  <si>
    <t xml:space="preserve">"¿Quién te ayudó a subir los muebles nuevos al piso? </t>
  </si>
  <si>
    <t xml:space="preserve">Quen che axudou a subir os mobles novos ao piso? </t>
  </si>
  <si>
    <t xml:space="preserve">Quen che axudou a subir os mobles novos ao piso?</t>
  </si>
  <si>
    <t xml:space="preserve">"Te daré un caramelo para que te calles. </t>
  </si>
  <si>
    <t xml:space="preserve">Dareiche un caramelo para que cales. </t>
  </si>
  <si>
    <t xml:space="preserve">Dareiche un caramelo para que te calles. </t>
  </si>
  <si>
    <t xml:space="preserve">Dareiche un caramelo para que te calles.</t>
  </si>
  <si>
    <t xml:space="preserve">Dareiche un caramelo para que te calmes.</t>
  </si>
  <si>
    <t xml:space="preserve">0.8195</t>
  </si>
  <si>
    <t xml:space="preserve">0.8383</t>
  </si>
  <si>
    <t xml:space="preserve">"Te van a dar la noticia mañana. </t>
  </si>
  <si>
    <t xml:space="preserve">Vanche dar a noticia mañá. </t>
  </si>
  <si>
    <t xml:space="preserve">Vanche dar a noticia mañá.</t>
  </si>
  <si>
    <t xml:space="preserve">Mañá daranche a noticia.</t>
  </si>
  <si>
    <t xml:space="preserve">0.8873</t>
  </si>
  <si>
    <t xml:space="preserve">0.9605</t>
  </si>
  <si>
    <t xml:space="preserve">"Yo te entiendo, pero no te puedo dar la razón. </t>
  </si>
  <si>
    <t xml:space="preserve">Eu enténdote, mais non che podo dar a razón. </t>
  </si>
  <si>
    <t xml:space="preserve">Eu enténdote, pero non che podo dar a razón. </t>
  </si>
  <si>
    <t xml:space="preserve">Eu enténdoche, pero non che podo dar a razón.</t>
  </si>
  <si>
    <t xml:space="preserve">Enténdote, pero non podo estar de acordo contigo.</t>
  </si>
  <si>
    <t xml:space="preserve">0.7547</t>
  </si>
  <si>
    <t xml:space="preserve">0.6024</t>
  </si>
  <si>
    <t xml:space="preserve">0.6051</t>
  </si>
  <si>
    <t xml:space="preserve">"Aquella desgracia te marcó para toda la vida. </t>
  </si>
  <si>
    <t xml:space="preserve">Aquela desgraza marcoute para toda a vida. </t>
  </si>
  <si>
    <t xml:space="preserve">Aquela desgraza marcouche para toda a vida.</t>
  </si>
  <si>
    <t xml:space="preserve">Esta desgraza marcouno de por vida.</t>
  </si>
  <si>
    <t xml:space="preserve">0.8545</t>
  </si>
  <si>
    <t xml:space="preserve">0.6080</t>
  </si>
  <si>
    <t xml:space="preserve">0.5800</t>
  </si>
  <si>
    <t xml:space="preserve">"Te reconocí por la voz. </t>
  </si>
  <si>
    <t xml:space="preserve">Recoñecinte pola voz. </t>
  </si>
  <si>
    <t xml:space="preserve">Recoñecíate pola voz.</t>
  </si>
  <si>
    <t xml:space="preserve">Recoñecinche pola voz.</t>
  </si>
  <si>
    <t xml:space="preserve">0.7654</t>
  </si>
  <si>
    <t xml:space="preserve">0.6014</t>
  </si>
  <si>
    <t xml:space="preserve">0.5786</t>
  </si>
  <si>
    <t xml:space="preserve">"Te echó porque te sonó el móvil. </t>
  </si>
  <si>
    <t xml:space="preserve">Botoute fóra porque che soou o móbil. </t>
  </si>
  <si>
    <t xml:space="preserve">Botouche porque che tocou o móbil. </t>
  </si>
  <si>
    <t xml:space="preserve">Echoute porque soou o móbil.</t>
  </si>
  <si>
    <t xml:space="preserve">Botouche porque o teu móbil soou.</t>
  </si>
  <si>
    <t xml:space="preserve">"¡Ponte a comer y que aproveche! </t>
  </si>
  <si>
    <t xml:space="preserve">Ponte a comer e que che aproveite! </t>
  </si>
  <si>
    <t xml:space="preserve">Ponte a comer e que aproveite! </t>
  </si>
  <si>
    <t xml:space="preserve">Ponte a comer e que gozas!</t>
  </si>
  <si>
    <t xml:space="preserve">Come e goza!</t>
  </si>
  <si>
    <t xml:space="preserve">"Siéntate ahí y no te muevas, que te voy a traer algo. </t>
  </si>
  <si>
    <t xml:space="preserve">Senta aí e non te movas, que che vou traer algo. </t>
  </si>
  <si>
    <t xml:space="preserve">Senta aí e non te movas, que che vou traer algo.</t>
  </si>
  <si>
    <t xml:space="preserve">Senta aí e non te movas, que che traerei algo.</t>
  </si>
  <si>
    <t xml:space="preserve">0.9885</t>
  </si>
  <si>
    <t xml:space="preserve">0.9966</t>
  </si>
  <si>
    <t xml:space="preserve">"Mira que me dolió lo que te hizo Alberto. </t>
  </si>
  <si>
    <t xml:space="preserve">Doéucheme o que che fixo o Alberto. </t>
  </si>
  <si>
    <t xml:space="preserve">Mira que me doeu o que che fixo Alberto. </t>
  </si>
  <si>
    <t xml:space="preserve">Mira que me doe o que che fixo Alberto.</t>
  </si>
  <si>
    <t xml:space="preserve">Mira que me doeu o que che fixo Alberto.</t>
  </si>
  <si>
    <t xml:space="preserve">0.8220</t>
  </si>
  <si>
    <t xml:space="preserve">"Aunque te haya dejado, es que no lloré nada, porque esa relación no te hacía ningún bien. </t>
  </si>
  <si>
    <t xml:space="preserve">Aínda que te deixara, non che chorei nada, porque esa relación non che facía ningún ben. </t>
  </si>
  <si>
    <t xml:space="preserve">Aínda que te deixase, é que non chorei nada, porque esa relación non che facía ningún ben. </t>
  </si>
  <si>
    <t xml:space="preserve">Aínda que te deixase, é que non chorei nada, porque esa relación non che facía ningún ben.</t>
  </si>
  <si>
    <t xml:space="preserve">Aínda que te deixase, non chorei nada, porque esa relación non che fixo ningún ben.</t>
  </si>
  <si>
    <t xml:space="preserve">0.9958</t>
  </si>
  <si>
    <t xml:space="preserve">"Pues la cena de ayer no me sentó nada bien. </t>
  </si>
  <si>
    <t xml:space="preserve">Non che me vos sentou nada ben a cea de onte. </t>
  </si>
  <si>
    <t xml:space="preserve">Pois a cea de onte non me sentou nada ben. </t>
  </si>
  <si>
    <t xml:space="preserve">Pois a cea de onte non me sentou nada ben.</t>
  </si>
  <si>
    <t xml:space="preserve">A cea de onte non me sentou nada ben.</t>
  </si>
  <si>
    <t xml:space="preserve">0.9879</t>
  </si>
  <si>
    <t xml:space="preserve">"Te digo que no le gustó nada que se fueran sin despedirse. </t>
  </si>
  <si>
    <t xml:space="preserve">Non che lle gustou nada que marcharan sen despedirse. </t>
  </si>
  <si>
    <t xml:space="preserve">Dígoche que non lle gustou nada que se fosen sen despedirse. </t>
  </si>
  <si>
    <t xml:space="preserve">Dígoche que non lle gustou nada que se fosen sen despedirse.</t>
  </si>
  <si>
    <t xml:space="preserve">Dígoche que non lle gustou nada que se fosen sen se despedir.</t>
  </si>
  <si>
    <t xml:space="preserve">0.9877</t>
  </si>
  <si>
    <t xml:space="preserve">"Pues me robaron la cartera mientras estábamos en la discoteca. </t>
  </si>
  <si>
    <t xml:space="preserve">Roubáronmevos a carteira mentres estabamos na discoteca. </t>
  </si>
  <si>
    <t xml:space="preserve">Pois roubáronme a carteira mentres estabamos na discoteca. </t>
  </si>
  <si>
    <t xml:space="preserve">Pois roubáronme a carteira mentres estabamos na discoteca.</t>
  </si>
  <si>
    <t xml:space="preserve">Ben, roubáronme a carteira mentres estabamos na discoteca.</t>
  </si>
  <si>
    <t xml:space="preserve">"¡Es que no les entraron en casa de milagro! </t>
  </si>
  <si>
    <t xml:space="preserve">Non me lles entraron na casa de milagre! </t>
  </si>
  <si>
    <t xml:space="preserve">É que non lles entraron na casa de milagre! </t>
  </si>
  <si>
    <t xml:space="preserve">É que non lles entraron na casa de milagre!</t>
  </si>
  <si>
    <t xml:space="preserve">"¿Quién es el chico que acaba de llegar? </t>
  </si>
  <si>
    <t xml:space="preserve">Quen é o rapaz que acaba de chegar? </t>
  </si>
  <si>
    <t xml:space="preserve">Quen é o rapaz que acaba de chegar?</t>
  </si>
  <si>
    <t xml:space="preserve">"¿Cuál es el color más adecuado para nuestra página web? </t>
  </si>
  <si>
    <t xml:space="preserve">Cal é a cor máis axeitada para a nosa páxina web? </t>
  </si>
  <si>
    <t xml:space="preserve">Cal é a cor máis adecuada para a nosa páxina web?</t>
  </si>
  <si>
    <t xml:space="preserve">Cal é a cor máis axeitada para a nosa páxina web?</t>
  </si>
  <si>
    <t xml:space="preserve">0.9907</t>
  </si>
  <si>
    <t xml:space="preserve">"¿Qué fue lo que más les gustó? </t>
  </si>
  <si>
    <t xml:space="preserve">Que foi o que máis lles gustou? </t>
  </si>
  <si>
    <t xml:space="preserve">Que vos gustou máis?</t>
  </si>
  <si>
    <t xml:space="preserve">Que lles gustou máis?</t>
  </si>
  <si>
    <t xml:space="preserve">0.8315</t>
  </si>
  <si>
    <t xml:space="preserve">"¿Cuánto cuesta esta camiseta? </t>
  </si>
  <si>
    <t xml:space="preserve">Canto custa esta camiseta? </t>
  </si>
  <si>
    <t xml:space="preserve">Canto custa esta camiseta?</t>
  </si>
  <si>
    <t xml:space="preserve">"¿Por qué no vienes a la fiesta? </t>
  </si>
  <si>
    <t xml:space="preserve">Por que non vés á festa? </t>
  </si>
  <si>
    <t xml:space="preserve">Por que non viñeches á festa?</t>
  </si>
  <si>
    <t xml:space="preserve">Por que non vés á festa?</t>
  </si>
  <si>
    <t xml:space="preserve">0.9603</t>
  </si>
  <si>
    <t xml:space="preserve">0.8331</t>
  </si>
  <si>
    <t xml:space="preserve">0.8332</t>
  </si>
  <si>
    <t xml:space="preserve">"¿Cómo se dice esta palabra en francés? </t>
  </si>
  <si>
    <t xml:space="preserve">Como se di esta palabra en francés? </t>
  </si>
  <si>
    <t xml:space="preserve">Como se di esta palabra en francés?</t>
  </si>
  <si>
    <t xml:space="preserve">"Nosotros no les hicimos nada. </t>
  </si>
  <si>
    <t xml:space="preserve">Nós non lles fixemos nada. </t>
  </si>
  <si>
    <t xml:space="preserve">Nós non lles fixemos #nada. </t>
  </si>
  <si>
    <t xml:space="preserve">Nós non fixemos nada.</t>
  </si>
  <si>
    <t xml:space="preserve">Non lles fixemos nada.</t>
  </si>
  <si>
    <t xml:space="preserve">0.6514</t>
  </si>
  <si>
    <t xml:space="preserve">0.5875</t>
  </si>
  <si>
    <t xml:space="preserve">0.6454</t>
  </si>
  <si>
    <t xml:space="preserve">"Ellos nos hicieron una faena. </t>
  </si>
  <si>
    <t xml:space="preserve">Eles fixéronnos unha faena. </t>
  </si>
  <si>
    <t xml:space="preserve">Fixéronnos unha faena.</t>
  </si>
  <si>
    <t xml:space="preserve">Fixéronnos un favor.</t>
  </si>
  <si>
    <t xml:space="preserve">0.9329</t>
  </si>
  <si>
    <t xml:space="preserve">0.8958</t>
  </si>
  <si>
    <t xml:space="preserve">0.8288</t>
  </si>
  <si>
    <t xml:space="preserve">"Vio un oso en el zoo. </t>
  </si>
  <si>
    <t xml:space="preserve">Viu un oso no zoo. </t>
  </si>
  <si>
    <t xml:space="preserve">Viu un oso no zoo.</t>
  </si>
  <si>
    <t xml:space="preserve">"Se asustó tanto que cayó al suelo y rompió un hueso del brazo. </t>
  </si>
  <si>
    <t xml:space="preserve">Asustouse tanto que caeu ao chan e rompeu un óso do brazo. </t>
  </si>
  <si>
    <t xml:space="preserve">Asustouse tanto que caeu ao chan e rompeu un óso do brazo.</t>
  </si>
  <si>
    <t xml:space="preserve">Tanto se asustou que caeu ao chan e rompeu un óso do brazo.</t>
  </si>
  <si>
    <t xml:space="preserve">0.9924</t>
  </si>
  <si>
    <t xml:space="preserve">"Ese es el problema. </t>
  </si>
  <si>
    <t xml:space="preserve">Ese é o problema. </t>
  </si>
  <si>
    <t xml:space="preserve">Ese é o problema.</t>
  </si>
  <si>
    <t xml:space="preserve">"A continuación, añade sal y pimienta. </t>
  </si>
  <si>
    <t xml:space="preserve">A continuación, engade sal e pementa. </t>
  </si>
  <si>
    <t xml:space="preserve">A continuación, engadimos sal e pementa.</t>
  </si>
  <si>
    <t xml:space="preserve">A continuación, engade sal e pementa.</t>
  </si>
  <si>
    <t xml:space="preserve">0.9428</t>
  </si>
  <si>
    <t xml:space="preserve">0.8277</t>
  </si>
  <si>
    <t xml:space="preserve">0.8190</t>
  </si>
  <si>
    <t xml:space="preserve">"Sabela escribe la pe al revés. </t>
  </si>
  <si>
    <t xml:space="preserve">Sabela escribe o pe ao revés. </t>
  </si>
  <si>
    <t xml:space="preserve">Sabela escribe a pe ao revés. </t>
  </si>
  <si>
    <t xml:space="preserve">Sabela escribe a pe ao revés.</t>
  </si>
  <si>
    <t xml:space="preserve">"Su madre la castiga y le hace estar de pie mientras comen. </t>
  </si>
  <si>
    <t xml:space="preserve">A súa nai castígaa e faina estar de pé mentres comen. </t>
  </si>
  <si>
    <t xml:space="preserve">A súa nai castígaa e faille estar de pé mentres comen. </t>
  </si>
  <si>
    <t xml:space="preserve">A súa nai castígaa e fai que estea de pé mentres comen.</t>
  </si>
  <si>
    <t xml:space="preserve">A súa nai castígaa obrigándoa a permanecer de pé mentres comen.</t>
  </si>
  <si>
    <t xml:space="preserve">0.9901</t>
  </si>
  <si>
    <t xml:space="preserve">"Vosotros sois mis mejores amigos. </t>
  </si>
  <si>
    <t xml:space="preserve">Vós sodes os meus mellores amigos. </t>
  </si>
  <si>
    <t xml:space="preserve">Vós sodes os meus mellores amigos.</t>
  </si>
  <si>
    <t xml:space="preserve">"Solo algunos os tenéis que preocupar por las notas. </t>
  </si>
  <si>
    <t xml:space="preserve">Só algúns vos tedes que preocupar polas notas. </t>
  </si>
  <si>
    <t xml:space="preserve">Só algúns de vós tedes que preocupar polas notas.</t>
  </si>
  <si>
    <t xml:space="preserve">Son só algúns os que teñen que preocuparse polas cualificacións.</t>
  </si>
  <si>
    <t xml:space="preserve">0.6430</t>
  </si>
  <si>
    <t xml:space="preserve">0.7967</t>
  </si>
  <si>
    <t xml:space="preserve">0.7681</t>
  </si>
  <si>
    <t xml:space="preserve">"Ese pájaro es blanco y tiene las alas negras. </t>
  </si>
  <si>
    <t xml:space="preserve">Ese paxaro é branco e ten as ás negras. </t>
  </si>
  <si>
    <t xml:space="preserve">Este paxaro é branco e ten as ás negras.</t>
  </si>
  <si>
    <t xml:space="preserve">O paxaro é branco con ás negras.</t>
  </si>
  <si>
    <t xml:space="preserve">0.9131</t>
  </si>
  <si>
    <t xml:space="preserve">0.9980</t>
  </si>
  <si>
    <t xml:space="preserve">"Son las ocho de la mañana. </t>
  </si>
  <si>
    <t xml:space="preserve">Son as oito da mañá. </t>
  </si>
  <si>
    <t xml:space="preserve">Son as oito da mañá.</t>
  </si>
  <si>
    <t xml:space="preserve">"Estaba jugando con los niños a las canicas. </t>
  </si>
  <si>
    <t xml:space="preserve">Estaba a xogar cos nenos ás bólas. </t>
  </si>
  <si>
    <t xml:space="preserve">Estaba xogando cos nenos ás canicas. </t>
  </si>
  <si>
    <t xml:space="preserve">Estaba a xogar cos nenos ás contas.</t>
  </si>
  <si>
    <t xml:space="preserve">Estaba xogando coas canicas cos nenos.</t>
  </si>
  <si>
    <t xml:space="preserve">0.3172</t>
  </si>
  <si>
    <t xml:space="preserve">0.5916</t>
  </si>
  <si>
    <t xml:space="preserve">0.6420</t>
  </si>
  <si>
    <t xml:space="preserve">"Vino mi tía y trajo bolla para merendar. </t>
  </si>
  <si>
    <t xml:space="preserve">Veu miña tía e trouxo bola para merendar. </t>
  </si>
  <si>
    <t xml:space="preserve">Veu a miña tía e trouxo bolas para merendar. </t>
  </si>
  <si>
    <t xml:space="preserve">Viña a miña tía e trouxo boliña para merendar.</t>
  </si>
  <si>
    <t xml:space="preserve">A miña tía veu e trouxo bolla para merendar.</t>
  </si>
  <si>
    <t xml:space="preserve">"No tengo más dinero que tú. </t>
  </si>
  <si>
    <t xml:space="preserve">Non teño máis cartos ca ti. </t>
  </si>
  <si>
    <t xml:space="preserve">Non teño máis diñeiro que tu. </t>
  </si>
  <si>
    <t xml:space="preserve">Non teño máis cartos que ti.</t>
  </si>
  <si>
    <t xml:space="preserve">Non teño máis cartos ca ti.</t>
  </si>
  <si>
    <t xml:space="preserve">0.7807</t>
  </si>
  <si>
    <t xml:space="preserve">0.8103</t>
  </si>
  <si>
    <t xml:space="preserve">"Mi casa es más grande que la tuya. </t>
  </si>
  <si>
    <t xml:space="preserve">A miña casa é máis grande cá túa. </t>
  </si>
  <si>
    <t xml:space="preserve">A miña casa é maior que a túa. </t>
  </si>
  <si>
    <t xml:space="preserve">A miña casa é máis grande que a túa.</t>
  </si>
  <si>
    <t xml:space="preserve">A miña casa é máis grande ca a túa.</t>
  </si>
  <si>
    <t xml:space="preserve">"La tierra de la casa de mis abuelos es llana. </t>
  </si>
  <si>
    <t xml:space="preserve">A terra da casa dos meus avós é chá. </t>
  </si>
  <si>
    <t xml:space="preserve">A terra da casa dos meus avós é chaira. </t>
  </si>
  <si>
    <t xml:space="preserve">A terra da casa dos meus avós é chá.</t>
  </si>
  <si>
    <t xml:space="preserve">A terra da casa dos meus avós é chaira.</t>
  </si>
  <si>
    <t xml:space="preserve">0.9963</t>
  </si>
  <si>
    <t xml:space="preserve">"Compré una camiseta nueva, ya te la enseñaré mañana. </t>
  </si>
  <si>
    <t xml:space="preserve">Merquei unha camiseta nova, xa cha amosarei mañá. </t>
  </si>
  <si>
    <t xml:space="preserve">Merquei unha camiseta nova, xa cha ensinarei mañá. </t>
  </si>
  <si>
    <t xml:space="preserve">Comprei unha camiseta nova, xa che a ensinarei mañá.</t>
  </si>
  <si>
    <t xml:space="preserve">Comprei unha camiseta nova que che amosarei mañá.</t>
  </si>
  <si>
    <t xml:space="preserve">0.8040</t>
  </si>
  <si>
    <t xml:space="preserve">"Tu tío dice que eres más listo que tu hermano. </t>
  </si>
  <si>
    <t xml:space="preserve">Teu tío di que es máis listo có teu irmán. </t>
  </si>
  <si>
    <t xml:space="preserve">O teu tío di que es máis esperto que o teu irmán. </t>
  </si>
  <si>
    <t xml:space="preserve">O teu tío di que es máis listo que o teu irmán.</t>
  </si>
  <si>
    <t xml:space="preserve">O teu tío di que es máis listo ca o teu irmán.</t>
  </si>
  <si>
    <t xml:space="preserve">"Es algo con lo que no estoy de acuerdo, sois muy listos los dos. </t>
  </si>
  <si>
    <t xml:space="preserve">É algo co que non estou de acordo, sodes moi listos os dous. </t>
  </si>
  <si>
    <t xml:space="preserve">É algo co que non estou de acordo, sodes moi listos os dous.</t>
  </si>
  <si>
    <t xml:space="preserve">É algo co que non estou de acordo, sodes moi intelixentes os dous.</t>
  </si>
  <si>
    <t xml:space="preserve">"Hace falta poner un ventilador en la oficina. </t>
  </si>
  <si>
    <t xml:space="preserve">Cómpre poñer un ventilador na oficina. </t>
  </si>
  <si>
    <t xml:space="preserve">Hai que poñer un ventilador na oficina. </t>
  </si>
  <si>
    <t xml:space="preserve">Fai falta poñer un ventilador na oficina.</t>
  </si>
  <si>
    <t xml:space="preserve">É necesario instalar un ventilador na oficina.</t>
  </si>
  <si>
    <t xml:space="preserve">0.9925</t>
  </si>
  <si>
    <t xml:space="preserve">"Dile que no lo compre ella, ya se encargará el jefe. </t>
  </si>
  <si>
    <t xml:space="preserve">Dille que non o compre ela, xa se encargará o xefe. </t>
  </si>
  <si>
    <t xml:space="preserve">Dille que non o merque ela, xa se encargará o xefe. </t>
  </si>
  <si>
    <t xml:space="preserve">Dille que non o compre ela, xa se encargará o xefe.</t>
  </si>
  <si>
    <t xml:space="preserve">Dille que non o compre ela, o xefe encargarase diso.</t>
  </si>
  <si>
    <t xml:space="preserve">0.9712</t>
  </si>
  <si>
    <t xml:space="preserve">"Si se lo hubieses enviado a las ocho de la mañana, el resultado sería el mismo. </t>
  </si>
  <si>
    <t xml:space="preserve">Se llo enviaras ás oito da mañá, o resultado sería o mesmo. </t>
  </si>
  <si>
    <t xml:space="preserve">Se llo enviases ás oito da mañá, o resultado sería o mesmo. </t>
  </si>
  <si>
    <t xml:space="preserve">Se o mandases ás oito da mañá, o resultado sería o mesmo.</t>
  </si>
  <si>
    <t xml:space="preserve">Se o enviases ás oito da mañá, o resultado sería o mesmo.</t>
  </si>
  <si>
    <t xml:space="preserve">0.5942</t>
  </si>
  <si>
    <t xml:space="preserve">0.5793</t>
  </si>
  <si>
    <t xml:space="preserve">0.5818</t>
  </si>
  <si>
    <t xml:space="preserve">"En un día no es capaz de hacerlo, es demasiado trabajo. </t>
  </si>
  <si>
    <t xml:space="preserve">Nun día non dá feito, é demasiado traballo. </t>
  </si>
  <si>
    <t xml:space="preserve">Nun día non é capaz de facelo, é demasiado traballo. </t>
  </si>
  <si>
    <t xml:space="preserve">Nun día non é capaz de facelo, é demasiado traballo.</t>
  </si>
  <si>
    <t xml:space="preserve">Non pode facelo nun día, é demasiado traballo.</t>
  </si>
  <si>
    <t xml:space="preserve">"Casi siempre toca mal el do. </t>
  </si>
  <si>
    <t xml:space="preserve">Case sempre toca mal o dó. </t>
  </si>
  <si>
    <t xml:space="preserve">Case sempre toca mal o do. </t>
  </si>
  <si>
    <t xml:space="preserve">Casi sempre toca mal o do.</t>
  </si>
  <si>
    <t xml:space="preserve">0.7231</t>
  </si>
  <si>
    <t xml:space="preserve">0.6118</t>
  </si>
  <si>
    <t xml:space="preserve">0.5822</t>
  </si>
  <si>
    <t xml:space="preserve">"El agujero del instrumento es muy grande. </t>
  </si>
  <si>
    <t xml:space="preserve">O burato do instrumento é moi grande. </t>
  </si>
  <si>
    <t xml:space="preserve">O buraco do instrumento é moi grande. </t>
  </si>
  <si>
    <t xml:space="preserve">O burato do instrumento é moi grande.</t>
  </si>
  <si>
    <t xml:space="preserve">"Ella ya había ido a ver la casa nueva. </t>
  </si>
  <si>
    <t xml:space="preserve">Ela xa fora ver a nova casa. </t>
  </si>
  <si>
    <t xml:space="preserve">Ela xa fora ver a casa nova. </t>
  </si>
  <si>
    <t xml:space="preserve">Ela xa fora ver a casa nova.</t>
  </si>
  <si>
    <t xml:space="preserve">"Fuera no cabe una piscina y también un invernadero. </t>
  </si>
  <si>
    <t xml:space="preserve">Fóra non cabe unha pisicna e mais un invernadoiro. </t>
  </si>
  <si>
    <t xml:space="preserve">Fóra non cabe unha piscina e tamén un invernadoiro. </t>
  </si>
  <si>
    <t xml:space="preserve">Fóra non cabe unha piscina e tampouco un invernadoiro.</t>
  </si>
  <si>
    <t xml:space="preserve">Fóra non cabe unha piscina nin tampouco un invernadoiro.</t>
  </si>
  <si>
    <t xml:space="preserve">"A mí me apetece más café. </t>
  </si>
  <si>
    <t xml:space="preserve">A min apetéceme máis café. </t>
  </si>
  <si>
    <t xml:space="preserve">A min gústame máis o café.</t>
  </si>
  <si>
    <t xml:space="preserve">Prefiro café.</t>
  </si>
  <si>
    <t xml:space="preserve">0.9624</t>
  </si>
  <si>
    <t xml:space="preserve">0.6609</t>
  </si>
  <si>
    <t xml:space="preserve">0.6847</t>
  </si>
  <si>
    <t xml:space="preserve">"Me apetece tomar un café, pero no tengo ganas de hacerlo. </t>
  </si>
  <si>
    <t xml:space="preserve">Apetéceme tomar un café, mais non teño ganas de preparalo. </t>
  </si>
  <si>
    <t xml:space="preserve">Apetéceme tomar un café, pero non teño ganas de facelo. </t>
  </si>
  <si>
    <t xml:space="preserve">Apétame tomar un café, pero non teño ganas de facelo.</t>
  </si>
  <si>
    <t xml:space="preserve">Teño ganas de tomar un café, pero non teño ganas de facelo.</t>
  </si>
  <si>
    <t xml:space="preserve">0.9989</t>
  </si>
  <si>
    <t xml:space="preserve">"Aprendió a hacer más de un tipo de nudo. </t>
  </si>
  <si>
    <t xml:space="preserve">Aprendeu a facer máis dun tipo de nó. </t>
  </si>
  <si>
    <t xml:space="preserve">Aprendeu a facer máis dun tipo de nó.</t>
  </si>
  <si>
    <t xml:space="preserve">"Aprendió muchas cosas en el campamento al que fue el verano pasado. </t>
  </si>
  <si>
    <t xml:space="preserve">Aprendeu moitas cousas no campamento ao que foi o verán pasado. </t>
  </si>
  <si>
    <t xml:space="preserve">Aprendeu moitas cousas no campamento ao que foi o verán pasado.</t>
  </si>
  <si>
    <t xml:space="preserve">"El amigo de Xoel me dijo de salir el sábado. </t>
  </si>
  <si>
    <t xml:space="preserve">O amigo do Xoel díxome de saír o sábado. </t>
  </si>
  <si>
    <t xml:space="preserve">O amigo de Xoel díxome de saír o sábado. </t>
  </si>
  <si>
    <t xml:space="preserve">O amigo de Xoel díxome que saíse o sábado.</t>
  </si>
  <si>
    <t xml:space="preserve">0.9033</t>
  </si>
  <si>
    <t xml:space="preserve">0.5857</t>
  </si>
  <si>
    <t xml:space="preserve">0.5971</t>
  </si>
  <si>
    <t xml:space="preserve">"Me invitó a ir al cine. </t>
  </si>
  <si>
    <t xml:space="preserve">Invitoume a ir ó cine. </t>
  </si>
  <si>
    <t xml:space="preserve">El convidoume para ir ao cinema. </t>
  </si>
  <si>
    <t xml:space="preserve">Convidoume a ir ao cine.</t>
  </si>
  <si>
    <t xml:space="preserve">Convidoume a ir ao cinema.</t>
  </si>
  <si>
    <t xml:space="preserve">0.9323</t>
  </si>
  <si>
    <t xml:space="preserve">"Ellos propusieron ir a jugar a los bolos. </t>
  </si>
  <si>
    <t xml:space="preserve">Eles propuxeron ir xogar ós birlos. </t>
  </si>
  <si>
    <t xml:space="preserve">Eles propuxeron ir xogar aos bolos. </t>
  </si>
  <si>
    <t xml:space="preserve">Propuxeron ir xogar aos bolos.</t>
  </si>
  <si>
    <t xml:space="preserve">Propuxeron ir xogar ás bólas.</t>
  </si>
  <si>
    <t xml:space="preserve">0.8555</t>
  </si>
  <si>
    <t xml:space="preserve">0.8146</t>
  </si>
  <si>
    <t xml:space="preserve">"Sus amigos dijeron de salir el sábado. </t>
  </si>
  <si>
    <t xml:space="preserve">Os seus amigos dixeron de saír o sábado. </t>
  </si>
  <si>
    <t xml:space="preserve">Os seus amigos dixeron para saír o sábado. </t>
  </si>
  <si>
    <t xml:space="preserve">Os seus amigos dixeron que saíra o sábado.</t>
  </si>
  <si>
    <t xml:space="preserve">Os seus amigos dixeron que sairían o sábado.</t>
  </si>
  <si>
    <t xml:space="preserve">0.6991</t>
  </si>
  <si>
    <t xml:space="preserve">0.5921</t>
  </si>
  <si>
    <t xml:space="preserve">0.6091</t>
  </si>
  <si>
    <t xml:space="preserve">"Fue por la noche cuando le quedó la pelota en una rama del árbol. </t>
  </si>
  <si>
    <t xml:space="preserve">Foi pola noite cando lle quedou a pelota nunha póla da árbore. </t>
  </si>
  <si>
    <t xml:space="preserve">Foi pola noite cando lle quedou a pelota nunha póla do árbore.</t>
  </si>
  <si>
    <t xml:space="preserve">Foi pola noite cando a pelota quedou atrapada nunha póla da árbore.</t>
  </si>
  <si>
    <t xml:space="preserve">0.7859</t>
  </si>
  <si>
    <t xml:space="preserve">0.8177</t>
  </si>
  <si>
    <t xml:space="preserve">0.8061</t>
  </si>
  <si>
    <t xml:space="preserve">"La pelota cayó, con la mala suerte de que le picó una polla. </t>
  </si>
  <si>
    <t xml:space="preserve">A pelota caeu, coa mala sorte de que lle picou unha pola. </t>
  </si>
  <si>
    <t xml:space="preserve">A pelota caeu, coa mala sorte de que lle picou unha pirola. </t>
  </si>
  <si>
    <t xml:space="preserve">A pelota caeu, coa mala sorte de que lle picou unha palla.</t>
  </si>
  <si>
    <t xml:space="preserve">A pelota caeu e, con mala sorte, foi golpeada por un pito.</t>
  </si>
  <si>
    <t xml:space="preserve">"Tienes que poner las opciones que vienen por defecto. </t>
  </si>
  <si>
    <t xml:space="preserve">Tes que poñer as opcións que veñen por defecto. </t>
  </si>
  <si>
    <t xml:space="preserve">Tes que poñer as opcións que veñen por defecto.</t>
  </si>
  <si>
    <t xml:space="preserve">Ten que establecer as opcións predeterminadas.</t>
  </si>
  <si>
    <t xml:space="preserve">0.8978</t>
  </si>
  <si>
    <t xml:space="preserve">0.8662</t>
  </si>
  <si>
    <t xml:space="preserve">"¿Puedes ayudar a poner la mesa, por favor? </t>
  </si>
  <si>
    <t xml:space="preserve">Podes axudar a pór a mesa, por favor? </t>
  </si>
  <si>
    <t xml:space="preserve">Podes axudar a pór a mesa, por favor?</t>
  </si>
  <si>
    <t xml:space="preserve">Podes axudar a poñer a mesa, por favor?</t>
  </si>
  <si>
    <t xml:space="preserve">0.9838</t>
  </si>
  <si>
    <t xml:space="preserve">"Tienen que darse prisa y hacer algo. </t>
  </si>
  <si>
    <t xml:space="preserve">Teñen que darse présa e facer algo. </t>
  </si>
  <si>
    <t xml:space="preserve">Teñen que se apresurar e facer algunha cousa. </t>
  </si>
  <si>
    <t xml:space="preserve">Tedes que apurarse e facer algo.</t>
  </si>
  <si>
    <t xml:space="preserve">Teñen que darse présa e facer algo.</t>
  </si>
  <si>
    <t xml:space="preserve">0.9276</t>
  </si>
  <si>
    <t xml:space="preserve">0.6013</t>
  </si>
  <si>
    <t xml:space="preserve">"La presa se va a desbordar con la lluvia. </t>
  </si>
  <si>
    <t xml:space="preserve">A presa vai desbordar coa chuvia. </t>
  </si>
  <si>
    <t xml:space="preserve">A presa vaise desbordar coa choiva. </t>
  </si>
  <si>
    <t xml:space="preserve">A presa vai desbordar coa choiva.</t>
  </si>
  <si>
    <t xml:space="preserve">A presa desbordarase coa choiva.</t>
  </si>
  <si>
    <t xml:space="preserve">0.8366</t>
  </si>
  <si>
    <t xml:space="preserve">"Por si no lo sabes, te quiero. </t>
  </si>
  <si>
    <t xml:space="preserve">Por se non o sabes, quérote. </t>
  </si>
  <si>
    <t xml:space="preserve">Por se non o sabes, quíxote.</t>
  </si>
  <si>
    <t xml:space="preserve">Por se non o sabes, quérote.</t>
  </si>
  <si>
    <t xml:space="preserve">0.9897</t>
  </si>
  <si>
    <t xml:space="preserve">"Esos peregrinos se dirigen a la sede de Santiago de Compostela. </t>
  </si>
  <si>
    <t xml:space="preserve">Eses peregrinos diríxense á sé de Santiago de Compostela. </t>
  </si>
  <si>
    <t xml:space="preserve">Eses peregrinos diríxense á sede de Santiago de Compostela. </t>
  </si>
  <si>
    <t xml:space="preserve">Eses peregrinos diríxense á sé de Santiago de Compostela.</t>
  </si>
  <si>
    <t xml:space="preserve">Estes peregrinos diríxense á sede de Santiago de Compostela.</t>
  </si>
  <si>
    <t xml:space="preserve">0.9643</t>
  </si>
  <si>
    <t xml:space="preserve">"Esa reliquia estaba so tierra. </t>
  </si>
  <si>
    <t xml:space="preserve">Esa reliquia estaba so terra. </t>
  </si>
  <si>
    <t xml:space="preserve">Esa reliquia estaba baixo terra.</t>
  </si>
  <si>
    <t xml:space="preserve">A reliquia estaba debaixo da terra.</t>
  </si>
  <si>
    <t xml:space="preserve">0.8326</t>
  </si>
  <si>
    <t xml:space="preserve">"Solo era posible encontrarla haciendo una excavación. </t>
  </si>
  <si>
    <t xml:space="preserve">Só era posible atopala facendo unha escavación. </t>
  </si>
  <si>
    <t xml:space="preserve">Só era posible atopala facendo unha escavación.</t>
  </si>
  <si>
    <t xml:space="preserve">Só se puido atopar despois de realizar unha escavación.</t>
  </si>
  <si>
    <t xml:space="preserve">0.8788</t>
  </si>
  <si>
    <t xml:space="preserve">0.9982</t>
  </si>
  <si>
    <t xml:space="preserve">"No lo podía hacer él solo. </t>
  </si>
  <si>
    <t xml:space="preserve">Non o podía facer el só. </t>
  </si>
  <si>
    <t xml:space="preserve">Non podía facelo el só.</t>
  </si>
  <si>
    <t xml:space="preserve">0.8444</t>
  </si>
  <si>
    <t xml:space="preserve">"El té no le gusta. </t>
  </si>
  <si>
    <t xml:space="preserve">O té non lle gusta. </t>
  </si>
  <si>
    <t xml:space="preserve">O té non lle gusta.</t>
  </si>
  <si>
    <t xml:space="preserve">Non lle gusta o té.</t>
  </si>
  <si>
    <t xml:space="preserve">0.8871</t>
  </si>
  <si>
    <t xml:space="preserve">"Te va a intentar convencer de hacer café. </t>
  </si>
  <si>
    <t xml:space="preserve">Vaite intentar convencer de facer café. </t>
  </si>
  <si>
    <t xml:space="preserve">El vai tentar convencerche a facer café. </t>
  </si>
  <si>
    <t xml:space="preserve">Vaille intentar convencerte de facer café.</t>
  </si>
  <si>
    <t xml:space="preserve">Intentará convencerche de que prepares café.</t>
  </si>
  <si>
    <t xml:space="preserve">0.2894</t>
  </si>
  <si>
    <t xml:space="preserve">0.5041</t>
  </si>
  <si>
    <t xml:space="preserve">0.5808</t>
  </si>
  <si>
    <t xml:space="preserve">"Se nota que no ven bien. </t>
  </si>
  <si>
    <t xml:space="preserve">Nótase que non ven ben. </t>
  </si>
  <si>
    <t xml:space="preserve">Nótese que non van ben.</t>
  </si>
  <si>
    <t xml:space="preserve">Nótase que non ven ben.</t>
  </si>
  <si>
    <t xml:space="preserve">0.9871</t>
  </si>
  <si>
    <t xml:space="preserve">0.9201</t>
  </si>
  <si>
    <t xml:space="preserve">0.8778</t>
  </si>
  <si>
    <t xml:space="preserve">"Carlos viene allí. </t>
  </si>
  <si>
    <t xml:space="preserve">O Carlos vén alí. </t>
  </si>
  <si>
    <t xml:space="preserve">O Carlos vén aí. </t>
  </si>
  <si>
    <t xml:space="preserve">Carlos vén alí.</t>
  </si>
  <si>
    <t xml:space="preserve">Carlos vai alí.</t>
  </si>
  <si>
    <t xml:space="preserve">0.9170</t>
  </si>
  <si>
    <t xml:space="preserve">0.8267</t>
  </si>
  <si>
    <t xml:space="preserve">0.8245</t>
  </si>
  <si>
    <t xml:space="preserve">"¿No ves nada interesante en la programación? </t>
  </si>
  <si>
    <t xml:space="preserve">Non ves nada interesante na programación? </t>
  </si>
  <si>
    <t xml:space="preserve">Non ves nada interesante na programación?</t>
  </si>
  <si>
    <t xml:space="preserve">"¿Por qué no vienes al curso? </t>
  </si>
  <si>
    <t xml:space="preserve">Por que non vés ao curso? </t>
  </si>
  <si>
    <t xml:space="preserve">Por que non viñeches ao curso?</t>
  </si>
  <si>
    <t xml:space="preserve">Por que non vés á clase?</t>
  </si>
  <si>
    <t xml:space="preserve">0.8581</t>
  </si>
  <si>
    <t xml:space="preserve">0.6055</t>
  </si>
  <si>
    <t xml:space="preserve">0.6079</t>
  </si>
  <si>
    <t xml:space="preserve">"¡Qué buena idea! </t>
  </si>
  <si>
    <t xml:space="preserve">Que boa idea! </t>
  </si>
  <si>
    <t xml:space="preserve">Que boa idea!</t>
  </si>
  <si>
    <t xml:space="preserve">"¿Cuál es tu color preferido? </t>
  </si>
  <si>
    <t xml:space="preserve">Cal é a túa cor preferida? </t>
  </si>
  <si>
    <t xml:space="preserve">Cal é o teu cor preferido?</t>
  </si>
  <si>
    <t xml:space="preserve">Cal é a túa cor favorita?</t>
  </si>
  <si>
    <t xml:space="preserve">0.9689</t>
  </si>
  <si>
    <t xml:space="preserve">0.8262</t>
  </si>
  <si>
    <t xml:space="preserve">0.8176</t>
  </si>
  <si>
    <t xml:space="preserve">"¿Quién quiere venir conmigo? </t>
  </si>
  <si>
    <t xml:space="preserve">Quen quere vir comigo? </t>
  </si>
  <si>
    <t xml:space="preserve">Quen quere vir comigo?</t>
  </si>
  <si>
    <t xml:space="preserve">"¡Te dije mil veces que no molestes a tu hermana mientras está estudiando! </t>
  </si>
  <si>
    <t xml:space="preserve">Díxenche mil veces que non molestes á túa irmá mentres está a estudar! </t>
  </si>
  <si>
    <t xml:space="preserve">Díxenche mil veces que non molestes á túa irmá mentres estuda!</t>
  </si>
  <si>
    <t xml:space="preserve">Díxenche mil veces que non molestes á túa irmá mentres está estudando!</t>
  </si>
  <si>
    <t xml:space="preserve">0.9884</t>
  </si>
  <si>
    <t xml:space="preserve">"¡Ojalá tenga suerte y encuentre trabajo en el extranjero! </t>
  </si>
  <si>
    <t xml:space="preserve">Oxalá teña sorte e atope traballo no estranxeiro! </t>
  </si>
  <si>
    <t xml:space="preserve">Ouh, que teña sorte e atope traballo no estranxeiro!</t>
  </si>
  <si>
    <t xml:space="preserve">Oxalá teña sorte e atope traballo no estranxeiro!</t>
  </si>
  <si>
    <t xml:space="preserve">0.9016</t>
  </si>
  <si>
    <t xml:space="preserve">0.8275</t>
  </si>
  <si>
    <t xml:space="preserve">0.8559</t>
  </si>
  <si>
    <t xml:space="preserve">"¡Gracias! (Aplausos) Fue un placer estar hoy aquí. </t>
  </si>
  <si>
    <t xml:space="preserve">Grazas! (Aplausos) Foi un pracer estar hoxe aquí. </t>
  </si>
  <si>
    <t xml:space="preserve">(Aplausos) Foi un pracer estar aquí hoxe. </t>
  </si>
  <si>
    <t xml:space="preserve">Grazas! (Aplausos) Foi un pracer estar hoxe aquí.</t>
  </si>
  <si>
    <t xml:space="preserve">Grazas! (Aplausos) Foi un pracer estar aquí hoxe.</t>
  </si>
  <si>
    <t xml:space="preserve">0.9023</t>
  </si>
  <si>
    <t xml:space="preserve">0.8221</t>
  </si>
  <si>
    <t xml:space="preserve">0.8560</t>
  </si>
  <si>
    <t xml:space="preserve">"Los crustáceos (langostas, cangrejos, percebes... ) son seres que viven en el mar. </t>
  </si>
  <si>
    <t xml:space="preserve">Os crustáceos (lagostas, caranguexos, percebes... ) son seres que viven no mar. </t>
  </si>
  <si>
    <t xml:space="preserve">Os crustáceos (lagostas, cangrexos, percebes... ) son seres que viven no mar. </t>
  </si>
  <si>
    <t xml:space="preserve">Os crustáceos (lagostas, lagostinos, percebes...) son seres que viven no mar.</t>
  </si>
  <si>
    <t xml:space="preserve">Os crustáceos (lagostas, cangrexos, percebes...) son animais que viven no mar.</t>
  </si>
  <si>
    <t xml:space="preserve">0.7855</t>
  </si>
  <si>
    <t xml:space="preserve">0.8222</t>
  </si>
  <si>
    <t xml:space="preserve">0.8382</t>
  </si>
  <si>
    <t xml:space="preserve">"La Administración de Alimentos y Medicamentos de Estados Unidos (FDA, por sus siglas en inglés) autorizó las vacunas contra el COVID-19. </t>
  </si>
  <si>
    <t xml:space="preserve">A Administración de Alimentos e Medicamentos dos Estados Unidos (FDA, polas súas siglas en inglés) autorizou as vacinas contra a COVID-19. </t>
  </si>
  <si>
    <t xml:space="preserve">A Administración de Alimentos e Medicamentos de Estados Unidos (FDA, polas súas siglas en inglés) autorizou as vacinas contra o COVID-19. </t>
  </si>
  <si>
    <t xml:space="preserve">A Administración de Alimentos e Medicamentos dos Estados Unidos (FDA, polas súas siglas en inglés) autorizou as vacunas contra o COVID-19.</t>
  </si>
  <si>
    <t xml:space="preserve">A Administración de Alimentos e Medicamentos dos EE. UU. (FDA) aprobou as vacinas COVID-19.</t>
  </si>
  <si>
    <t xml:space="preserve">0.6687</t>
  </si>
  <si>
    <t xml:space="preserve">0.5976</t>
  </si>
  <si>
    <t xml:space="preserve">0.5924</t>
  </si>
  <si>
    <t xml:space="preserve">"Haga clic aquí para desactivar las actualizaciones automáticas (no es recomendable). </t>
  </si>
  <si>
    <t xml:space="preserve">Prema aquí para desactivar as actualizacións automáticas (non é recomendable). </t>
  </si>
  <si>
    <t xml:space="preserve">Pulse aquí para desactivar as actualizacións automáticas (non é recomendable).</t>
  </si>
  <si>
    <t xml:space="preserve">Faga clic aquí para desactivar as actualizacións automáticas (non se recomenda).</t>
  </si>
  <si>
    <t xml:space="preserve">0.9747</t>
  </si>
  <si>
    <t xml:space="preserve">"(Risas) El siguiente chiste trata sobre un chino, un senegalés y un español. </t>
  </si>
  <si>
    <t xml:space="preserve">(Risas) O seguinte chiste trata sobre un chinés, un senegalés e un español. </t>
  </si>
  <si>
    <t xml:space="preserve">(Risas) A seguinte broma é sobre un chinés, un senegalés e un español. </t>
  </si>
  <si>
    <t xml:space="preserve">(Risas) O seguinte chiste é sobre un chinés, un senegalés e un español.</t>
  </si>
  <si>
    <t xml:space="preserve">(Risas) O seguinte chiste trata sobre un chinés, un senegalés e un español.</t>
  </si>
  <si>
    <t xml:space="preserve">"El día que cumplió un año fue el primer día que le llamó mamá. </t>
  </si>
  <si>
    <t xml:space="preserve">O día que cumpriu un ano foi o primeiro día que lle chamou mamá. </t>
  </si>
  <si>
    <t xml:space="preserve">O día que cumpriu un ano foi o primeiro día que lle chamou mamá.</t>
  </si>
  <si>
    <t xml:space="preserve">O día en que cumpriu un ano foi o primeiro en que a súa nai o chamou así.</t>
  </si>
  <si>
    <t xml:space="preserve">0.9680</t>
  </si>
  <si>
    <t xml:space="preserve">0.8500</t>
  </si>
  <si>
    <t xml:space="preserve">0.8568</t>
  </si>
  <si>
    <t xml:space="preserve">"Había mucha gente en la fiesta. </t>
  </si>
  <si>
    <t xml:space="preserve">Había moita xente na festa. </t>
  </si>
  <si>
    <t xml:space="preserve">Había moita xente na festa.</t>
  </si>
  <si>
    <t xml:space="preserve">"¡Bueno, pues ahora a trabajar! </t>
  </si>
  <si>
    <t xml:space="preserve">Ben, pois agora a traballar! </t>
  </si>
  <si>
    <t xml:space="preserve">Ben, agora a traballar! </t>
  </si>
  <si>
    <t xml:space="preserve">Ben, pois agora a traballar!</t>
  </si>
  <si>
    <t xml:space="preserve">Ben, agora a traballar!</t>
  </si>
  <si>
    <t xml:space="preserve">0.9463</t>
  </si>
  <si>
    <t xml:space="preserve">"Dijo que iba a hacer él el resumen, ¡pero por los cojones! </t>
  </si>
  <si>
    <t xml:space="preserve">Dixo que ía facer el o resumo, pero polo carallo! </t>
  </si>
  <si>
    <t xml:space="preserve">Dixo que ía facer el o resumo, pero polos collóns! </t>
  </si>
  <si>
    <t xml:space="preserve">Dixo que ía facer el o resumo, mais polo que máis queira!</t>
  </si>
  <si>
    <t xml:space="preserve">Dixo que faría o resumo el mesmo, pero maldita sexa!</t>
  </si>
  <si>
    <t xml:space="preserve">0.8796</t>
  </si>
  <si>
    <t xml:space="preserve">"Anda que no hace tiempo ni nada que terminó la tarea. </t>
  </si>
  <si>
    <t xml:space="preserve">Vaiche boa que rematou a tarefa. </t>
  </si>
  <si>
    <t xml:space="preserve">Anda que non hai tempo nin nada que rematou a tarefa. </t>
  </si>
  <si>
    <t xml:space="preserve">Anda que non fai tempo nin nada que rematou a tarefa.</t>
  </si>
  <si>
    <t xml:space="preserve">Vaia, non hai tempo nin nada para rematar a tarefa.</t>
  </si>
  <si>
    <t xml:space="preserve">0.9626</t>
  </si>
  <si>
    <t xml:space="preserve">0.7690</t>
  </si>
  <si>
    <t xml:space="preserve">0.8367</t>
  </si>
  <si>
    <t xml:space="preserve">"¿Ustedes fueron a la conferencia la semana pasada? </t>
  </si>
  <si>
    <t xml:space="preserve">Vostedes foron á conferencia a semana pasada? </t>
  </si>
  <si>
    <t xml:space="preserve">Vós fostes á conferencia a semana pasada? </t>
  </si>
  <si>
    <t xml:space="preserve">Vostedes foron á conferencia a semana pasada?</t>
  </si>
  <si>
    <t xml:space="preserve">Foron á conferencia a semana pasada?</t>
  </si>
  <si>
    <t xml:space="preserve">0.7152</t>
  </si>
  <si>
    <t xml:space="preserve">0.6351</t>
  </si>
  <si>
    <t xml:space="preserve">"Cuando hizo aquella pregunta se dirigió a usted. </t>
  </si>
  <si>
    <t xml:space="preserve">Cando fixo aquela pregunta se dirixiu a vostede. </t>
  </si>
  <si>
    <t xml:space="preserve">Cando fixo aquela pregunta dirixiuse a vostede. </t>
  </si>
  <si>
    <t xml:space="preserve">Cando fixo aquela pregunta dirixiuse a vostede.</t>
  </si>
  <si>
    <t xml:space="preserve">Cando fixo esa pregunta, dirixiuse a vostede.</t>
  </si>
  <si>
    <t xml:space="preserve">0.9671</t>
  </si>
  <si>
    <t xml:space="preserve">"¿Tú quieres venir también al cine? </t>
  </si>
  <si>
    <t xml:space="preserve">Ti queres vir tamén ao cine? </t>
  </si>
  <si>
    <t xml:space="preserve">Queres vir tamén ao cinema? </t>
  </si>
  <si>
    <t xml:space="preserve">Queres vir tamén ao cine?</t>
  </si>
  <si>
    <t xml:space="preserve">Queres ir ao cinema tamén?</t>
  </si>
  <si>
    <t xml:space="preserve">"Vosotros sois los únicos que no queréis ir a la fiesta. </t>
  </si>
  <si>
    <t xml:space="preserve">Vós sodes os únicos que non queredes ir á festa. </t>
  </si>
  <si>
    <t xml:space="preserve">Vós sodes os únicos que non queredes ir á festa.</t>
  </si>
  <si>
    <t xml:space="preserve">"Vosotros no os disteis cuenta de sus verdaderas intenciones, pero yo sí. </t>
  </si>
  <si>
    <t xml:space="preserve">Vós non vos decatastes das súas verdadeiras intencións, pero eu si. </t>
  </si>
  <si>
    <t xml:space="preserve">Vós non vos distes conta das súas verdadeiras intencións, pero eu si.</t>
  </si>
  <si>
    <t xml:space="preserve">Non vos decatastes das súas verdadeiras intencións, pero eu si.</t>
  </si>
  <si>
    <t xml:space="preserve">0.8769</t>
  </si>
  <si>
    <t xml:space="preserve">0.8192</t>
  </si>
  <si>
    <t xml:space="preserve">0.8257</t>
  </si>
  <si>
    <t xml:space="preserve">"Tú y yo hacemos un buen equipo. </t>
  </si>
  <si>
    <t xml:space="preserve">Ti e mais eu facemos un bo equipo. </t>
  </si>
  <si>
    <t xml:space="preserve">Ti e eu facemos un bo equipo. </t>
  </si>
  <si>
    <t xml:space="preserve">Ti e mais eu facemos un bo equipo.</t>
  </si>
  <si>
    <t xml:space="preserve">Ti e eu facemos un bo equipo.</t>
  </si>
  <si>
    <t xml:space="preserve">0.9814</t>
  </si>
  <si>
    <t xml:space="preserve">"María y tú sois muy amigas. </t>
  </si>
  <si>
    <t xml:space="preserve">María e ti sodes moi amigas. </t>
  </si>
  <si>
    <t xml:space="preserve">María e ti sodes moi amigas.</t>
  </si>
  <si>
    <t xml:space="preserve">"Martín y Xoel juegan el sábado en Vigo. </t>
  </si>
  <si>
    <t xml:space="preserve">Martín e Xoel xogan o sábado en Vigo. </t>
  </si>
  <si>
    <t xml:space="preserve">Martín e Xoel xogan o sábado en Vigo.</t>
  </si>
  <si>
    <t xml:space="preserve">Martín e Xoel xogarán o sábado en Vigo.</t>
  </si>
  <si>
    <t xml:space="preserve">0.9767</t>
  </si>
  <si>
    <t xml:space="preserve">"Daniel no está, quedó con una amiga. </t>
  </si>
  <si>
    <t xml:space="preserve">O Daniel non está, quedou cunha amiga. </t>
  </si>
  <si>
    <t xml:space="preserve">Daniel non está, quedou cunha amiga. </t>
  </si>
  <si>
    <t xml:space="preserve">Daniel non está, quedou cunha amiga.</t>
  </si>
  <si>
    <t xml:space="preserve">"Yo el viernes me voy de viaje. </t>
  </si>
  <si>
    <t xml:space="preserve">Eu o venres marcho de viaxe. </t>
  </si>
  <si>
    <t xml:space="preserve">Eu o venres vou de viaxe. </t>
  </si>
  <si>
    <t xml:space="preserve">Eu vou de viaxe o venres.</t>
  </si>
  <si>
    <t xml:space="preserve">Eu marcho de viaxe o venres.</t>
  </si>
  <si>
    <t xml:space="preserve">0.9660</t>
  </si>
  <si>
    <t xml:space="preserve">"Tú siempre eres la última en irte. </t>
  </si>
  <si>
    <t xml:space="preserve">Ti sempre es a última en marchar. </t>
  </si>
  <si>
    <t xml:space="preserve">Ti es sempre a última a ir. </t>
  </si>
  <si>
    <t xml:space="preserve">Ti sempre es a última en marchar.</t>
  </si>
  <si>
    <t xml:space="preserve">Sempre es a última en marchar.</t>
  </si>
  <si>
    <t xml:space="preserve">0.8668</t>
  </si>
  <si>
    <t xml:space="preserve">"No le gusta el deporte, pero le gusta el baile. </t>
  </si>
  <si>
    <t xml:space="preserve">Non lle gusta o deporte, pero gústalle o baile. </t>
  </si>
  <si>
    <t xml:space="preserve">Non lle gusta o deporte, pero gústalle o baile.</t>
  </si>
  <si>
    <t xml:space="preserve">Non lle gusta o deporte, pero si o baile.</t>
  </si>
  <si>
    <t xml:space="preserve">"Tú prefieres el chocolate blanco, pero yo prefiero el negro. </t>
  </si>
  <si>
    <t xml:space="preserve">Ti prefires o chocolate branco, pero eu prefiro o negro. </t>
  </si>
  <si>
    <t xml:space="preserve">Ti prefires o chocolate branco, mais eu prefiro o negro. </t>
  </si>
  <si>
    <t xml:space="preserve">Ti prefires o chocolate branco, pero eu prefiro o negro.</t>
  </si>
  <si>
    <t xml:space="preserve">"Juntos trabajamos mejor. </t>
  </si>
  <si>
    <t xml:space="preserve">Xuntos traballamos mellor. </t>
  </si>
  <si>
    <t xml:space="preserve">Xuntos traballamos mellor.</t>
  </si>
  <si>
    <t xml:space="preserve">"Vosotros y vuestros amigos habéis viajado por toda Europa, ¿verdad? </t>
  </si>
  <si>
    <t xml:space="preserve">Vós e mais os vosos amigos viaxastes por toda Europa, non si? </t>
  </si>
  <si>
    <t xml:space="preserve">Vós e os vosos amigos viaxastes por toda Europa, verdade? </t>
  </si>
  <si>
    <t xml:space="preserve">Vós e os vosos amigos viaxastes por toda Europa, ¿verdade?</t>
  </si>
  <si>
    <t xml:space="preserve">Vós e os vosos amigos viaxastes por toda Europa, non si?</t>
  </si>
  <si>
    <t xml:space="preserve">0.9863</t>
  </si>
  <si>
    <t xml:space="preserve">"Tengo un gato negro. </t>
  </si>
  <si>
    <t xml:space="preserve">Teño un gato negro. </t>
  </si>
  <si>
    <t xml:space="preserve">Teño un gato negro.</t>
  </si>
  <si>
    <t xml:space="preserve">"Ellos vinieron a visitarme el verano pasado. </t>
  </si>
  <si>
    <t xml:space="preserve">Eles viñeron visitarme o verán pasado. </t>
  </si>
  <si>
    <t xml:space="preserve">Viñeron visitarme o verán pasado.</t>
  </si>
  <si>
    <t xml:space="preserve">0.9765</t>
  </si>
  <si>
    <t xml:space="preserve">"Este verano voy a ir de vacaciones a Escocia. </t>
  </si>
  <si>
    <t xml:space="preserve">Este verán vou ir de vacacións a Escocia. </t>
  </si>
  <si>
    <t xml:space="preserve">Este verán vou de vacacións a Escocia. </t>
  </si>
  <si>
    <t xml:space="preserve">Este verán vou ir de vacacións a Escocia.</t>
  </si>
  <si>
    <t xml:space="preserve">Voume de vacacións a Escocia este verán.</t>
  </si>
  <si>
    <t xml:space="preserve">0.9224</t>
  </si>
  <si>
    <t xml:space="preserve">"Os he de traer un regalo de Escocia. </t>
  </si>
  <si>
    <t xml:space="preserve">Heivos traer un regalo de Escocia. </t>
  </si>
  <si>
    <t xml:space="preserve">Teño de vos traer un presente da Escocia. </t>
  </si>
  <si>
    <t xml:space="preserve">Traerei un regalo de Escocia.</t>
  </si>
  <si>
    <t xml:space="preserve">Traerei un agasallo de Escocia.</t>
  </si>
  <si>
    <t xml:space="preserve">0.8578</t>
  </si>
  <si>
    <t xml:space="preserve">"Habéis de hacer lo que indiquen las normas del internado. </t>
  </si>
  <si>
    <t xml:space="preserve">Habedes facer o que indiquen as normas do internado. </t>
  </si>
  <si>
    <t xml:space="preserve">Tedes que facer o que indiquen as normas do internado. </t>
  </si>
  <si>
    <t xml:space="preserve">Tedes que facer o que indiquen as normas do internado.</t>
  </si>
  <si>
    <t xml:space="preserve">Debedes facer o que vos indiquen as regras do internado.</t>
  </si>
  <si>
    <t xml:space="preserve">0.9286</t>
  </si>
  <si>
    <t xml:space="preserve">"Debe de hacer un año que no la veo. </t>
  </si>
  <si>
    <t xml:space="preserve">Ha de haber un ano que non a vexo. </t>
  </si>
  <si>
    <t xml:space="preserve">Debe de facer un ano que non a vexo. </t>
  </si>
  <si>
    <t xml:space="preserve">Debe facer un ano que non a vexo.</t>
  </si>
  <si>
    <t xml:space="preserve">Non a vin desde hai un ano.</t>
  </si>
  <si>
    <t xml:space="preserve">0.9939</t>
  </si>
  <si>
    <t xml:space="preserve">0.9044</t>
  </si>
  <si>
    <t xml:space="preserve">0.8508</t>
  </si>
  <si>
    <t xml:space="preserve">"Hay tantos juguetes del perro por la cocina que por poco tropiezo y caigo al suelo. </t>
  </si>
  <si>
    <t xml:space="preserve">Hai tantos xoguetes do can pola cociña que houben tropezar e caer ao chan. </t>
  </si>
  <si>
    <t xml:space="preserve">Hai tantos xoguetes do can pola cociña que por pouco tropezo e caio ao chan. </t>
  </si>
  <si>
    <t xml:space="preserve">Hai tantos xoguetes do can pola cociña que por pouco tropezo e caio ao chan.</t>
  </si>
  <si>
    <t xml:space="preserve">A cociña está tan chea de xoguetes para cans que estou a piques de tropezar e caer ao chan.</t>
  </si>
  <si>
    <t xml:space="preserve">0.9467</t>
  </si>
  <si>
    <t xml:space="preserve">0.8359</t>
  </si>
  <si>
    <t xml:space="preserve">0.8579</t>
  </si>
  <si>
    <t xml:space="preserve">"Para tener un trabajo estable hay que ser más responsable. </t>
  </si>
  <si>
    <t xml:space="preserve">Para ter un traballo estable hai que ser máis responsable. </t>
  </si>
  <si>
    <t xml:space="preserve">Para ter un traballo estable hai que ser máis responsable.</t>
  </si>
  <si>
    <t xml:space="preserve">"Es mejor que no vayamos muy lejos porque va a llover. </t>
  </si>
  <si>
    <t xml:space="preserve">É mellor que non vaiamos moi lonxe porque quere chover. </t>
  </si>
  <si>
    <t xml:space="preserve">É mellor que non vaiamos moi lonxe porque vai chover. </t>
  </si>
  <si>
    <t xml:space="preserve">É mellor que non vaiamos moi lonxe porque vai chover.</t>
  </si>
  <si>
    <t xml:space="preserve">"Si quieres que te atiendan sin cita previa, tienes que ir temprano. </t>
  </si>
  <si>
    <t xml:space="preserve">Se queres que te atendan sen cita previa, tes que ir cedo. </t>
  </si>
  <si>
    <t xml:space="preserve">Se queres que che atendan sen cita previa, tes que ir cedo.</t>
  </si>
  <si>
    <t xml:space="preserve">Se se quere ser atendido sen cita previa, hai que chegar cedo.</t>
  </si>
  <si>
    <t xml:space="preserve">0.7752</t>
  </si>
  <si>
    <t xml:space="preserve">0.6035</t>
  </si>
  <si>
    <t xml:space="preserve">0.5987</t>
  </si>
  <si>
    <t xml:space="preserve">"Si quieres ir a esa universidad, debes mejorar las notas en algunas materias. </t>
  </si>
  <si>
    <t xml:space="preserve">Se queres ir a esa universidade debes mellorar as notas nalgunhas materias. </t>
  </si>
  <si>
    <t xml:space="preserve">Se queres ir a esa universidade, debes mellorar as notas nalgunhas materias. </t>
  </si>
  <si>
    <t xml:space="preserve">Se queres ir a esa universidade, tes que mellorar as notas nalgunhas materias.</t>
  </si>
  <si>
    <t xml:space="preserve">Se queres ir a esa universidade, tes que mellorar as túas cualificacións nalgunhas materias.</t>
  </si>
  <si>
    <t xml:space="preserve">"Aunque ahora mismo llueva, por la tarde puede salir el sol. </t>
  </si>
  <si>
    <t xml:space="preserve">Aínda que agora mesmo chova, pola tarde pode saír o sol. </t>
  </si>
  <si>
    <t xml:space="preserve">Aínda que agora mesmo chova, pola tarde pode saír o sol.</t>
  </si>
  <si>
    <t xml:space="preserve">Aínda que chova agora mesmo, é posible que saia o sol pola tarde.</t>
  </si>
  <si>
    <t xml:space="preserve">0.8602</t>
  </si>
  <si>
    <t xml:space="preserve">"La niña está haciendo los deberes. </t>
  </si>
  <si>
    <t xml:space="preserve">A nena está a facer os deberes. </t>
  </si>
  <si>
    <t xml:space="preserve">A nena está a facer os deberes.</t>
  </si>
  <si>
    <t xml:space="preserve">"Carlos está a punto de llegar, me mandó un mensaje. </t>
  </si>
  <si>
    <t xml:space="preserve">Carlos está a chegar, mandoume unha mensaxe. </t>
  </si>
  <si>
    <t xml:space="preserve">Carlos está a piques de chegar, mandoume unha mensaxe. </t>
  </si>
  <si>
    <t xml:space="preserve">Carlos está a piques de chegar, mandoume unha mensaxe.</t>
  </si>
  <si>
    <t xml:space="preserve">"El evento está por terminar. </t>
  </si>
  <si>
    <t xml:space="preserve">O evento está para rematar. </t>
  </si>
  <si>
    <t xml:space="preserve">O evento está por rematar. </t>
  </si>
  <si>
    <t xml:space="preserve">O evento está por rematar.</t>
  </si>
  <si>
    <t xml:space="preserve">O evento está a rematar.</t>
  </si>
  <si>
    <t xml:space="preserve">"Andan construyendo un centro comercial nuevo en Vigo. </t>
  </si>
  <si>
    <t xml:space="preserve">Andan a construír un centro comercial novo en Vigo. </t>
  </si>
  <si>
    <t xml:space="preserve">Andan construíndo un centro comercial novo en Vigo. </t>
  </si>
  <si>
    <t xml:space="preserve">Andan construíndo un centro comercial novo en Vigo.</t>
  </si>
  <si>
    <t xml:space="preserve">Están construíndo un novo centro comercial en Vigo.</t>
  </si>
  <si>
    <t xml:space="preserve">0.9246</t>
  </si>
  <si>
    <t xml:space="preserve">"En la cena todos estaban hablando de política. </t>
  </si>
  <si>
    <t xml:space="preserve">Na cea todos eran a falar de política. </t>
  </si>
  <si>
    <t xml:space="preserve">Na cea todos estaban a falar de política. </t>
  </si>
  <si>
    <t xml:space="preserve">Na cea todos estaban a falar de política.</t>
  </si>
  <si>
    <t xml:space="preserve">Durante a cea, todos estaban a falar de política.</t>
  </si>
  <si>
    <t xml:space="preserve">0.9818</t>
  </si>
  <si>
    <t xml:space="preserve">"Están hablando de las elecciones andaluzas. </t>
  </si>
  <si>
    <t xml:space="preserve">Están a falar das eleccións andaluzas. </t>
  </si>
  <si>
    <t xml:space="preserve">Están a falar das eleccións andaluzas.</t>
  </si>
  <si>
    <t xml:space="preserve">"Hoy llevo trabajando diez horas. </t>
  </si>
  <si>
    <t xml:space="preserve">Hoxe levo a traballar dez horas. </t>
  </si>
  <si>
    <t xml:space="preserve">Hoxe levo dez horas traballando. </t>
  </si>
  <si>
    <t xml:space="preserve">Hoxe traballei dez horas.</t>
  </si>
  <si>
    <t xml:space="preserve">Hoxe levo dez horas traballando.</t>
  </si>
  <si>
    <t xml:space="preserve">0.7123</t>
  </si>
  <si>
    <t xml:space="preserve">0.8372</t>
  </si>
  <si>
    <t xml:space="preserve">0.8159</t>
  </si>
  <si>
    <t xml:space="preserve">"Al final no voy a ir porque sigue lloviendo. </t>
  </si>
  <si>
    <t xml:space="preserve">Ao final non vou ir porque segue a chover. </t>
  </si>
  <si>
    <t xml:space="preserve">Ao final non vou ir porque segue chovendo. </t>
  </si>
  <si>
    <t xml:space="preserve">Ao final non vou ir porque segue a chover.</t>
  </si>
  <si>
    <t xml:space="preserve">Ao final non irei porque segue chovendo.</t>
  </si>
  <si>
    <t xml:space="preserve">0.8887</t>
  </si>
  <si>
    <t xml:space="preserve">"Al final acabó contando el motivo real por el que se enfadó con Laura. </t>
  </si>
  <si>
    <t xml:space="preserve">Ao final veu a contar o motivo real polo que se enfadou con Laura. </t>
  </si>
  <si>
    <t xml:space="preserve">Ao final acabou contando o motivo real polo que se enfadou con Laura. </t>
  </si>
  <si>
    <t xml:space="preserve">Ao final acabou contando o motivo real polo que se enfadou con Laura.</t>
  </si>
  <si>
    <t xml:space="preserve">"Tomo un vaso de zumo de naranja todas las mañanas. </t>
  </si>
  <si>
    <t xml:space="preserve">Veño a tomar un vaso de zume de laranxa todas as mañás. </t>
  </si>
  <si>
    <t xml:space="preserve">Tomo un vaso de zume de laranxa todas as mañás. </t>
  </si>
  <si>
    <t xml:space="preserve">Tomo un vaso de zume de laranxa todas as mañás.</t>
  </si>
  <si>
    <t xml:space="preserve">"Llegarás a ser lo que te propongas. </t>
  </si>
  <si>
    <t xml:space="preserve">Chegarás a ser o que te propoñas. </t>
  </si>
  <si>
    <t xml:space="preserve">Chegarás a ser o que che propoñas. </t>
  </si>
  <si>
    <t xml:space="preserve">Chegarás a ser o que te propongas.</t>
  </si>
  <si>
    <t xml:space="preserve">Chegarás a ser o que te propoñas.</t>
  </si>
  <si>
    <t xml:space="preserve">0.7345</t>
  </si>
  <si>
    <t xml:space="preserve">0.5893</t>
  </si>
  <si>
    <t xml:space="preserve">0.5876</t>
  </si>
  <si>
    <t xml:space="preserve">"Acabamos por ir a un restaurante porque no teníamos ganas de cocinar. </t>
  </si>
  <si>
    <t xml:space="preserve">Acabamos por ir a un restaurante porque non tiñamos ganas de cociñar. </t>
  </si>
  <si>
    <t xml:space="preserve">Acabamos por ir a un restaurante porque non tiñamos ganas de cociñar.</t>
  </si>
  <si>
    <t xml:space="preserve">Acabamos indo a un restaurante porque non nos apetecía cociñar.</t>
  </si>
  <si>
    <t xml:space="preserve">0.9308</t>
  </si>
  <si>
    <t xml:space="preserve">"Acabo de terminar la tarea ahora mismo. </t>
  </si>
  <si>
    <t xml:space="preserve">Acabo de rematar a tarefa agora mesmo. </t>
  </si>
  <si>
    <t xml:space="preserve">Acabo de rematar a tarefa agora mesmo.</t>
  </si>
  <si>
    <t xml:space="preserve">"¡Deja de molestar a tu hermana! </t>
  </si>
  <si>
    <t xml:space="preserve">Deixa de amolar á túa irmá! </t>
  </si>
  <si>
    <t xml:space="preserve">Deixa de molestar á túa irmá! </t>
  </si>
  <si>
    <t xml:space="preserve">Deixa de molestar á túa irmá!</t>
  </si>
  <si>
    <t xml:space="preserve">"Acaba de terminar el máster y ya está pensando en las oposiciones. </t>
  </si>
  <si>
    <t xml:space="preserve">Vén de rematar o mestrado e xa está a pensar nas oposicións. </t>
  </si>
  <si>
    <t xml:space="preserve">Acaba de rematar o máster e xa está a pensar nas oposicións. </t>
  </si>
  <si>
    <t xml:space="preserve">Acaba de rematar o máster e xa está pensando nas oposicións.</t>
  </si>
  <si>
    <t xml:space="preserve">Acaba de rematar o máster e xa está a pensar nas oposicións.</t>
  </si>
  <si>
    <t xml:space="preserve">0.9416</t>
  </si>
  <si>
    <t xml:space="preserve">"Se echó a llorar al enterarse de que había muerto su vecina. </t>
  </si>
  <si>
    <t xml:space="preserve">Botouse a chorar ao enterarse de que morrera a súa veciña. </t>
  </si>
  <si>
    <t xml:space="preserve">Botouse a chorar ao decatarse de que morrera a súa veciña. </t>
  </si>
  <si>
    <t xml:space="preserve">Chorou a mazo ao decatarse de que morrera a súa veciña.</t>
  </si>
  <si>
    <t xml:space="preserve">Empezou a chorar cando se decatou de que o seu veciño morrera.</t>
  </si>
  <si>
    <t xml:space="preserve">0.6124</t>
  </si>
  <si>
    <t xml:space="preserve">0.5999</t>
  </si>
  <si>
    <t xml:space="preserve">"Empezó a actuar de forma insolente y nos fuimos. </t>
  </si>
  <si>
    <t xml:space="preserve">Comezou a actuar dun modo insolente e marchamos. </t>
  </si>
  <si>
    <t xml:space="preserve">Empezou a actuar de forma insolente e marchamos. </t>
  </si>
  <si>
    <t xml:space="preserve">Comezou a actuar de forma insolente e marchamos.</t>
  </si>
  <si>
    <t xml:space="preserve">Comezou a comportarse de xeito arrogante e marchamos.</t>
  </si>
  <si>
    <t xml:space="preserve">0.9688</t>
  </si>
  <si>
    <t xml:space="preserve">"Le dio por leer poesía contemporánea. </t>
  </si>
  <si>
    <t xml:space="preserve">Deu en ler poesía contemporánea. </t>
  </si>
  <si>
    <t xml:space="preserve">Deulle por ler poesía contemporánea. </t>
  </si>
  <si>
    <t xml:space="preserve">Deulle por ler poesía contemporánea.</t>
  </si>
  <si>
    <t xml:space="preserve">Empezou a ler poesía contemporánea.</t>
  </si>
  <si>
    <t xml:space="preserve">"Rompió a llover en cuanto salimos por la puerta. </t>
  </si>
  <si>
    <t xml:space="preserve">Rompeu a chover en canto saímos pola porta. </t>
  </si>
  <si>
    <t xml:space="preserve">Choveu a mazo en canto saímos pola porta.</t>
  </si>
  <si>
    <t xml:space="preserve">Nada máis saír pola porta comezou a chover.</t>
  </si>
  <si>
    <t xml:space="preserve">0.6845</t>
  </si>
  <si>
    <t xml:space="preserve">0.7819</t>
  </si>
  <si>
    <t xml:space="preserve">"Se soltó a caminar con dos años. </t>
  </si>
  <si>
    <t xml:space="preserve">Soltouse a camiñar con dous anos. </t>
  </si>
  <si>
    <t xml:space="preserve">Solta a andar con dous anos.</t>
  </si>
  <si>
    <t xml:space="preserve">Comezou a camiñar con dous anos.</t>
  </si>
  <si>
    <t xml:space="preserve">0.9421</t>
  </si>
  <si>
    <t xml:space="preserve">0.8576</t>
  </si>
  <si>
    <t xml:space="preserve">0.8389</t>
  </si>
  <si>
    <t xml:space="preserve">"Se puso a aprender japonés con treinta años. </t>
  </si>
  <si>
    <t xml:space="preserve">Púxose a aprender xaponés con trinta anos. </t>
  </si>
  <si>
    <t xml:space="preserve">Comezou a estudar xaponés aos 30 anos.</t>
  </si>
  <si>
    <t xml:space="preserve">Comezou a aprender xaponés con trinta anos.</t>
  </si>
  <si>
    <t xml:space="preserve">0.8671</t>
  </si>
  <si>
    <t xml:space="preserve">"Si me vuelves a contestar así, no vamos a seguir siendo amigas. </t>
  </si>
  <si>
    <t xml:space="preserve">Se me volves contestar así, non imos seguir sendo amigas. </t>
  </si>
  <si>
    <t xml:space="preserve">Se me volves a contestar así, non imos seguir sendo amigas. </t>
  </si>
  <si>
    <t xml:space="preserve">Se me volves a contestar así, non imos seguir sendo amigas.</t>
  </si>
  <si>
    <t xml:space="preserve">Se me volves a responder así, non seguiremos sendo amigas.</t>
  </si>
  <si>
    <t xml:space="preserve">"Están haciendo obras en la oficina. </t>
  </si>
  <si>
    <t xml:space="preserve">Están facendo obras na oficina. </t>
  </si>
  <si>
    <t xml:space="preserve">Están a facer obras na oficina. </t>
  </si>
  <si>
    <t xml:space="preserve">Están a facer obras na oficina.</t>
  </si>
  <si>
    <t xml:space="preserve">"Andan pintando todas las habitaciones de la casa. </t>
  </si>
  <si>
    <t xml:space="preserve">Andan pintando todas as habitacións da casa. </t>
  </si>
  <si>
    <t xml:space="preserve">E están pintando todas as habitacións da casa.</t>
  </si>
  <si>
    <t xml:space="preserve">Están pintando todas as habitacións da casa.</t>
  </si>
  <si>
    <t xml:space="preserve">0.8709</t>
  </si>
  <si>
    <t xml:space="preserve">0.8235</t>
  </si>
  <si>
    <t xml:space="preserve">0.8298</t>
  </si>
  <si>
    <t xml:space="preserve">"Sigue lloviendo y ya llevamos una semana así. </t>
  </si>
  <si>
    <t xml:space="preserve">Segue chovendo e xa levamos unha semana así. </t>
  </si>
  <si>
    <t xml:space="preserve">Segue a chover e xa levamos unha semana así.</t>
  </si>
  <si>
    <t xml:space="preserve">Continúa a chover e xa levamos unha semana así.</t>
  </si>
  <si>
    <t xml:space="preserve">0.9775</t>
  </si>
  <si>
    <t xml:space="preserve">"Lleva estudiando todo el día. </t>
  </si>
  <si>
    <t xml:space="preserve">Leva estudando todo o día. </t>
  </si>
  <si>
    <t xml:space="preserve">Leva estudando todo o día.</t>
  </si>
  <si>
    <t xml:space="preserve">Estudou todo o día.</t>
  </si>
  <si>
    <t xml:space="preserve">0.9326</t>
  </si>
  <si>
    <t xml:space="preserve">0.8552</t>
  </si>
  <si>
    <t xml:space="preserve">"Siempre va caminando a todos lados, aunque le lleve una hora llegar. </t>
  </si>
  <si>
    <t xml:space="preserve">Sempre vai camiñando a todos lados, aínda que lle leve unha hora chegar. </t>
  </si>
  <si>
    <t xml:space="preserve">Sempre vai andando a todos os lados, aínda que lle leve unha hora chegar.</t>
  </si>
  <si>
    <t xml:space="preserve">El sempre camiña a todas partes, aínda que lle leve unha hora chegar.</t>
  </si>
  <si>
    <t xml:space="preserve">0.9703</t>
  </si>
  <si>
    <t xml:space="preserve">"Viene poniendo excusas para no quedar desde que empezó el verano. </t>
  </si>
  <si>
    <t xml:space="preserve">Vén poñendo excusas para non quedar dende que comezou o verán. </t>
  </si>
  <si>
    <t xml:space="preserve">Vén poñendo escusas para non quedar desde que empezou o verán. </t>
  </si>
  <si>
    <t xml:space="preserve">Vén poñendo escusas para non quedar desde que comezou o verán.</t>
  </si>
  <si>
    <t xml:space="preserve">Desde que comezou o verán estivo poñendo escusas para non quedar.</t>
  </si>
  <si>
    <t xml:space="preserve">0.9679</t>
  </si>
  <si>
    <t xml:space="preserve">0.9893</t>
  </si>
  <si>
    <t xml:space="preserve">"No fui capaz de hacer la tarea en el plazo que me indicaron. </t>
  </si>
  <si>
    <t xml:space="preserve">Non dei feito a tarefa no prazo que me indicaron. </t>
  </si>
  <si>
    <t xml:space="preserve">Non fun capaz de facer a tarefa no prazo que me indicaron. </t>
  </si>
  <si>
    <t xml:space="preserve">Non fun quen de facer a tarefa no prazo que me indicaron.</t>
  </si>
  <si>
    <t xml:space="preserve">Non puiden realizar a tarefa dentro do prazo establecido.</t>
  </si>
  <si>
    <t xml:space="preserve">0.8782</t>
  </si>
  <si>
    <t xml:space="preserve">0.9985</t>
  </si>
  <si>
    <t xml:space="preserve">"Llevo hechas cincuenta filloas y aún voy a hacer más. </t>
  </si>
  <si>
    <t xml:space="preserve">Levo feitas cincuenta filloas e aínda vou facer máis. </t>
  </si>
  <si>
    <t xml:space="preserve">Fíxenlle cincuenta filloas e aínda vou facer máis.</t>
  </si>
  <si>
    <t xml:space="preserve">Fixen cincuenta filloas e aínda vou facer máis.</t>
  </si>
  <si>
    <t xml:space="preserve">0.8462</t>
  </si>
  <si>
    <t xml:space="preserve">0.8348</t>
  </si>
  <si>
    <t xml:space="preserve">0.8399</t>
  </si>
  <si>
    <t xml:space="preserve">"He hecho croquetas mil veces. </t>
  </si>
  <si>
    <t xml:space="preserve">Teño feito croquetas mil veces. </t>
  </si>
  <si>
    <t xml:space="preserve">Fixen croquetas mil veces. </t>
  </si>
  <si>
    <t xml:space="preserve">Fixen croquetas mil veces.</t>
  </si>
  <si>
    <t xml:space="preserve">"Creo que el viernes ya tendré acabada la traducción. </t>
  </si>
  <si>
    <t xml:space="preserve">Creo que o venres xa terei rematada a tradución. </t>
  </si>
  <si>
    <t xml:space="preserve">Creo que o venres xa terei rematada a tradución.</t>
  </si>
  <si>
    <t xml:space="preserve">Creo que a tradución estará lista o venres.</t>
  </si>
  <si>
    <t xml:space="preserve">0.8741</t>
  </si>
  <si>
    <t xml:space="preserve">"Yo, si pudiera, iría de viaje. </t>
  </si>
  <si>
    <t xml:space="preserve">Eu, se puidese, iría de viaxe. </t>
  </si>
  <si>
    <t xml:space="preserve">Eu, se puidese, iría de viaxe.</t>
  </si>
  <si>
    <t xml:space="preserve">Eu iría de viaxe se puidese.</t>
  </si>
  <si>
    <t xml:space="preserve">0.9049</t>
  </si>
  <si>
    <t xml:space="preserve">0.9957</t>
  </si>
  <si>
    <t xml:space="preserve">"Si hiciera más calor, seguramente querría un helado. </t>
  </si>
  <si>
    <t xml:space="preserve">Se fose máis calor, seguramente querería un xeado. </t>
  </si>
  <si>
    <t xml:space="preserve">Se fixese máis calor, seguramente querería un xeado. </t>
  </si>
  <si>
    <t xml:space="preserve">Se fixese máis calor, seguramente quería un xeado.</t>
  </si>
  <si>
    <t xml:space="preserve">Se fixese máis calor, probablemente querería un xeado.</t>
  </si>
  <si>
    <t xml:space="preserve">0.8154</t>
  </si>
  <si>
    <t xml:space="preserve">0.5850</t>
  </si>
  <si>
    <t xml:space="preserve">"Ya tendrías hecho el trabajo si empezases cuando te lo dije. </t>
  </si>
  <si>
    <t xml:space="preserve">Xa terías feito o traballo se comezases cando cho dixen. </t>
  </si>
  <si>
    <t xml:space="preserve">Xa terías feito o traballo se comezases cando che dixen.</t>
  </si>
  <si>
    <t xml:space="preserve">Se comezases cando cho dixen, xa terías feito o traballo.</t>
  </si>
  <si>
    <t xml:space="preserve">0.7699</t>
  </si>
  <si>
    <t xml:space="preserve">0.8150</t>
  </si>
  <si>
    <t xml:space="preserve">0.7507</t>
  </si>
  <si>
    <t xml:space="preserve">"Esos querrían alojarse gratis seguramente. </t>
  </si>
  <si>
    <t xml:space="preserve">Eses quererían aloxarse de balde seguramente. </t>
  </si>
  <si>
    <t xml:space="preserve">Eses quererían aloxarse gratis seguramente. </t>
  </si>
  <si>
    <t xml:space="preserve">Eses queren aloxarse gratis seguramente.</t>
  </si>
  <si>
    <t xml:space="preserve">Estes probablemente quererían aloxarse gratis.</t>
  </si>
  <si>
    <t xml:space="preserve">0.8556</t>
  </si>
  <si>
    <t xml:space="preserve">0.8369</t>
  </si>
  <si>
    <t xml:space="preserve">0.8173</t>
  </si>
  <si>
    <t xml:space="preserve">"Haríamos lo que sea necesario por recuperar nuestro equipaje. </t>
  </si>
  <si>
    <t xml:space="preserve">Fariamos o que sexa necesario por recuperar a nosa equipaxe. </t>
  </si>
  <si>
    <t xml:space="preserve">Faríamos o que sexa necesario por recuperar a nosa equipaxe. </t>
  </si>
  <si>
    <t xml:space="preserve">Fariamos o que fose necesario por recuperar o noso equipaxe.</t>
  </si>
  <si>
    <t xml:space="preserve">Fariamos o que fose necesario para recuperar a nosa equipaxe.</t>
  </si>
  <si>
    <t xml:space="preserve">0.9270</t>
  </si>
  <si>
    <t xml:space="preserve">0.8157</t>
  </si>
  <si>
    <t xml:space="preserve">"Si fuera mentira, ya lo sabríais. </t>
  </si>
  <si>
    <t xml:space="preserve">Se fose mentira, xa o saberiades. </t>
  </si>
  <si>
    <t xml:space="preserve">Se fose mentira, xa o saberiades.</t>
  </si>
  <si>
    <t xml:space="preserve">Se fose mentira, xa o saberían.</t>
  </si>
  <si>
    <t xml:space="preserve">0.8944</t>
  </si>
  <si>
    <t xml:space="preserve">0.8301</t>
  </si>
  <si>
    <t xml:space="preserve">"Dirá todo lo que pasó en cuanto le pregunten. </t>
  </si>
  <si>
    <t xml:space="preserve">Dirá todo o que pasou en canto lle pregunten. </t>
  </si>
  <si>
    <t xml:space="preserve">Dirá todo o que pasou cando lle pregunten.</t>
  </si>
  <si>
    <t xml:space="preserve">Cando lle pregunten, dirá todo o que pasou.</t>
  </si>
  <si>
    <t xml:space="preserve">0.9100</t>
  </si>
  <si>
    <t xml:space="preserve">"¿Por qué harán siempre las cosas al revés? </t>
  </si>
  <si>
    <t xml:space="preserve">Por que farán sempre as cousas ao revés? </t>
  </si>
  <si>
    <t xml:space="preserve">Por que farán sempre as cousas ao revés?</t>
  </si>
  <si>
    <t xml:space="preserve">Por que sempre fan as cousas ao revés?</t>
  </si>
  <si>
    <t xml:space="preserve">0.9673</t>
  </si>
  <si>
    <t xml:space="preserve">"Haré lo que pueda, no todo lo que me mandes. </t>
  </si>
  <si>
    <t xml:space="preserve">Farei o que poida, non todo o que me mandes. </t>
  </si>
  <si>
    <t xml:space="preserve">Farei o que poida, non todo o que me mandes.</t>
  </si>
  <si>
    <t xml:space="preserve">"¡Irás en avión, digo yo! </t>
  </si>
  <si>
    <t xml:space="preserve">Irás en avión, digo eu! </t>
  </si>
  <si>
    <t xml:space="preserve">Vas en avión, digo eu! </t>
  </si>
  <si>
    <t xml:space="preserve">Irás en avión, digo eu!</t>
  </si>
  <si>
    <t xml:space="preserve">Voarás en avión, digo eu!</t>
  </si>
  <si>
    <t xml:space="preserve">0.9947</t>
  </si>
  <si>
    <t xml:space="preserve">"¡Vosotros sabréis! </t>
  </si>
  <si>
    <t xml:space="preserve">Vós saberedes! </t>
  </si>
  <si>
    <t xml:space="preserve">Vós sabelo.</t>
  </si>
  <si>
    <t xml:space="preserve">Vós saberedes!</t>
  </si>
  <si>
    <t xml:space="preserve">0.9816</t>
  </si>
  <si>
    <t xml:space="preserve">0.8575</t>
  </si>
  <si>
    <t xml:space="preserve">0.8639</t>
  </si>
  <si>
    <t xml:space="preserve">"Iremos un poco más tarde. </t>
  </si>
  <si>
    <t xml:space="preserve">Iremos un pouco máis tarde. </t>
  </si>
  <si>
    <t xml:space="preserve">Imos un pouco máis tarde. </t>
  </si>
  <si>
    <t xml:space="preserve">Imos un pouco máis tarde.</t>
  </si>
  <si>
    <t xml:space="preserve">Iremos un pouco máis tarde.</t>
  </si>
  <si>
    <t xml:space="preserve">0.9910</t>
  </si>
  <si>
    <t xml:space="preserve">"Sea quien sea, no le dejaré pasar. </t>
  </si>
  <si>
    <t xml:space="preserve">Sexa quen for, non lle deixarei pasar. </t>
  </si>
  <si>
    <t xml:space="preserve">Sexa quen for, non o deixarei pasar. </t>
  </si>
  <si>
    <t xml:space="preserve">Sexa quen sexa, non lle deixarei pasar.</t>
  </si>
  <si>
    <t xml:space="preserve">Sexa quen sexa, non o deixarei pasar.</t>
  </si>
  <si>
    <t xml:space="preserve">0.6537</t>
  </si>
  <si>
    <t xml:space="preserve">0.8134</t>
  </si>
  <si>
    <t xml:space="preserve">0.8133</t>
  </si>
  <si>
    <t xml:space="preserve">"Digas lo que digas, ya no creo en ti. </t>
  </si>
  <si>
    <t xml:space="preserve">Digas o que dixeres, xa non creo en ti. </t>
  </si>
  <si>
    <t xml:space="preserve">Digas o que digas, xa non creo en ti. </t>
  </si>
  <si>
    <t xml:space="preserve">Digas o que digas, xa non creo en ti.</t>
  </si>
  <si>
    <t xml:space="preserve">Non importa o que digas, xa non creo en ti.</t>
  </si>
  <si>
    <t xml:space="preserve">0.9956</t>
  </si>
  <si>
    <t xml:space="preserve">"Hable con quien hable, nadie me da la información que busco. </t>
  </si>
  <si>
    <t xml:space="preserve">Fale con quen falar, ninguén me dá a información que busco. </t>
  </si>
  <si>
    <t xml:space="preserve">Fale con quen falar, ninguén me dá a información que procuro. </t>
  </si>
  <si>
    <t xml:space="preserve">Fale coa xente que fale, ninguén me dá a información que busco.</t>
  </si>
  <si>
    <t xml:space="preserve">Non importa con quen fale, ninguén me dá a información que busco.</t>
  </si>
  <si>
    <t xml:space="preserve">0.9896</t>
  </si>
  <si>
    <t xml:space="preserve">"Vengan cuando vengan, yo voy a estar en casa. </t>
  </si>
  <si>
    <t xml:space="preserve">Veñan cando viñeren, eu vou estar na casa. </t>
  </si>
  <si>
    <t xml:space="preserve">Veñan cando viñeren, eu vou estar en casa. </t>
  </si>
  <si>
    <t xml:space="preserve">Vaiades cando vaiades, eu vou estar na casa.</t>
  </si>
  <si>
    <t xml:space="preserve">Veñan cando veñan, eu estarei na casa.</t>
  </si>
  <si>
    <t xml:space="preserve">0.6681</t>
  </si>
  <si>
    <t xml:space="preserve">0.9122</t>
  </si>
  <si>
    <t xml:space="preserve">0.8432</t>
  </si>
  <si>
    <t xml:space="preserve">"Ganemos lo que ganemos, siempre lo gastamos todo. </t>
  </si>
  <si>
    <t xml:space="preserve">Gañemos o que gañarmos, sempre o gastamos todo. </t>
  </si>
  <si>
    <t xml:space="preserve">Gañamos o que gañamos, sempre o gastamos todo. </t>
  </si>
  <si>
    <t xml:space="preserve">Gañemos o que gañemos, sempre gastamos todo.</t>
  </si>
  <si>
    <t xml:space="preserve">Independentemente do que gañemos, sempre o gastamos todo.</t>
  </si>
  <si>
    <t xml:space="preserve">0.7012</t>
  </si>
  <si>
    <t xml:space="preserve">0.8266</t>
  </si>
  <si>
    <t xml:space="preserve">0.8012</t>
  </si>
  <si>
    <t xml:space="preserve">"Estéis donde estéis, os encontraré. </t>
  </si>
  <si>
    <t xml:space="preserve">Esteades onde estiverdes, atopareivos. </t>
  </si>
  <si>
    <t xml:space="preserve">Esteades onde esteades, atopareivos. </t>
  </si>
  <si>
    <t xml:space="preserve">Estades onde esteades, encontrareivos.</t>
  </si>
  <si>
    <t xml:space="preserve">Atopareivos onde queira que esteades.</t>
  </si>
  <si>
    <t xml:space="preserve">0.9890</t>
  </si>
  <si>
    <t xml:space="preserve">0.9943</t>
  </si>
  <si>
    <t xml:space="preserve">"¡Habla de una vez! </t>
  </si>
  <si>
    <t xml:space="preserve">Fala dunha vez! </t>
  </si>
  <si>
    <t xml:space="preserve">Fala dunha vez!</t>
  </si>
  <si>
    <t xml:space="preserve">"¡Venid todos ahora mismo! </t>
  </si>
  <si>
    <t xml:space="preserve">Vinde todos agora mesmo! </t>
  </si>
  <si>
    <t xml:space="preserve">Vide todos agora mesmo! </t>
  </si>
  <si>
    <t xml:space="preserve">Vinde todos agora mesmo!</t>
  </si>
  <si>
    <t xml:space="preserve">Veñan todos agora mesmo!</t>
  </si>
  <si>
    <t xml:space="preserve">0.6196</t>
  </si>
  <si>
    <t xml:space="preserve">0.6298</t>
  </si>
  <si>
    <t xml:space="preserve">"¡No traigas nada! </t>
  </si>
  <si>
    <t xml:space="preserve">Non traias nada! </t>
  </si>
  <si>
    <t xml:space="preserve">Non traias #nada! </t>
  </si>
  <si>
    <t xml:space="preserve">Non traia nada!</t>
  </si>
  <si>
    <t xml:space="preserve">Non traigas nada!</t>
  </si>
  <si>
    <t xml:space="preserve">"¡No le hagas caso! </t>
  </si>
  <si>
    <t xml:space="preserve">Non lle fagas caso! </t>
  </si>
  <si>
    <t xml:space="preserve">Non lle fagas caso!</t>
  </si>
  <si>
    <t xml:space="preserve">"De volverse a producir nuevos robos, tendremos que avisar a la policía. </t>
  </si>
  <si>
    <t xml:space="preserve">De volveren producirse novos roubos, teremos que avisar á policía. </t>
  </si>
  <si>
    <t xml:space="preserve">De volvermos a producir novos roubos, teremos que avisar á policía. </t>
  </si>
  <si>
    <t xml:space="preserve">De volver a producirse novos roubos, teremos que avisar á policía.</t>
  </si>
  <si>
    <t xml:space="preserve">Se se producen máis roubos, teremos que chamar á policía.</t>
  </si>
  <si>
    <t xml:space="preserve">0.9479</t>
  </si>
  <si>
    <t xml:space="preserve">"Con tal de que estudies un poco, aprobarás. </t>
  </si>
  <si>
    <t xml:space="preserve">Con tal de estudares un pouco, aprobarás. </t>
  </si>
  <si>
    <t xml:space="preserve">Con tal de que estudes un pouco, aprobarás. </t>
  </si>
  <si>
    <t xml:space="preserve">Con tal de que estudies un pouco, aprobarás.</t>
  </si>
  <si>
    <t xml:space="preserve">Se estúdias un pouco, aprobarás.</t>
  </si>
  <si>
    <t xml:space="preserve">0.8492</t>
  </si>
  <si>
    <t xml:space="preserve">0.8362</t>
  </si>
  <si>
    <t xml:space="preserve">0.8394</t>
  </si>
  <si>
    <t xml:space="preserve">"Después de que abramos las botellas, brindaremos. </t>
  </si>
  <si>
    <t xml:space="preserve">Despois de abrirmos as botellas, brindaremos. </t>
  </si>
  <si>
    <t xml:space="preserve">Despois de que abramos as botellas, brindaremos.</t>
  </si>
  <si>
    <t xml:space="preserve">Despois de abrir as botellas, faremos un brinde.</t>
  </si>
  <si>
    <t xml:space="preserve">0.8685</t>
  </si>
  <si>
    <t xml:space="preserve">"Si no sabéis los verbos en el examen, vais a suspender. </t>
  </si>
  <si>
    <t xml:space="preserve">De non saberdes os verbos no exame, ides suspender. </t>
  </si>
  <si>
    <t xml:space="preserve">Se non sabedes os verbos no exame, ides suspender. </t>
  </si>
  <si>
    <t xml:space="preserve">Se non sabedes os verbos no exame, vaias a suspender.</t>
  </si>
  <si>
    <t xml:space="preserve">Se non coñecedes os verbos no exame, suspenderedes.</t>
  </si>
  <si>
    <t xml:space="preserve">0.8691</t>
  </si>
  <si>
    <t xml:space="preserve">0.8225</t>
  </si>
  <si>
    <t xml:space="preserve">"Si fueseis uno por cada lado, acabaríais antes. </t>
  </si>
  <si>
    <t xml:space="preserve">De ir un por cada lado, acabariades antes. </t>
  </si>
  <si>
    <t xml:space="preserve">Se fosedes un por cada lado, acabaríades antes. </t>
  </si>
  <si>
    <t xml:space="preserve">Se estivesedes un por cada lado, acabariades antes.</t>
  </si>
  <si>
    <t xml:space="preserve">Se fose un por cada lado, acabarían antes.</t>
  </si>
  <si>
    <t xml:space="preserve">"Cuando me fui, estaba llegando ella. </t>
  </si>
  <si>
    <t xml:space="preserve">Ao marchar, estaba a chegar ela. </t>
  </si>
  <si>
    <t xml:space="preserve">Cando marchei, estaba chegando ela. </t>
  </si>
  <si>
    <t xml:space="preserve">Cando me fun, estaba chegando ela.</t>
  </si>
  <si>
    <t xml:space="preserve">Cando marchei, ela estaba a chegar.</t>
  </si>
  <si>
    <t xml:space="preserve">0.9774</t>
  </si>
  <si>
    <t xml:space="preserve">0.9796</t>
  </si>
  <si>
    <t xml:space="preserve">"Eres la persona ideal para desempeñar ese trabajo. </t>
  </si>
  <si>
    <t xml:space="preserve">Es a persoa ideal para faceres ese traballo. </t>
  </si>
  <si>
    <t xml:space="preserve">Es a persoa ideal para desempeñar ese traballo. </t>
  </si>
  <si>
    <t xml:space="preserve">Es a persoa ideal para desempeñar ese traballo.</t>
  </si>
  <si>
    <t xml:space="preserve">Es a persoa ideal para ese traballo.</t>
  </si>
  <si>
    <t xml:space="preserve">"Es necesario que cooperéis para que salga bien el proyecto. </t>
  </si>
  <si>
    <t xml:space="preserve">Cómpre cooperardes para que saia ben o proxecto. </t>
  </si>
  <si>
    <t xml:space="preserve">É necesario que coopedes para que saia ben o proxecto. </t>
  </si>
  <si>
    <t xml:space="preserve">É necesario que cooperedes para que saia ben o proxecto.</t>
  </si>
  <si>
    <t xml:space="preserve">É necesario que cooperedes para que o proxecto saia ben.</t>
  </si>
  <si>
    <t xml:space="preserve">0.6097</t>
  </si>
  <si>
    <t xml:space="preserve">0.8278</t>
  </si>
  <si>
    <t xml:space="preserve">"No estaría mal tener una reunión de seguimiento todas las semanas. </t>
  </si>
  <si>
    <t xml:space="preserve">Non estaría mal termos unha reunión de seguimento todas as semanas. </t>
  </si>
  <si>
    <t xml:space="preserve">Non estaría mal ter unha reunión de seguimento todas as semanas. </t>
  </si>
  <si>
    <t xml:space="preserve">Non estaría mal ter unha reunión de seguimento todas as semanas.</t>
  </si>
  <si>
    <t xml:space="preserve">Unha reunión de seguimento semanal estaría ben.</t>
  </si>
  <si>
    <t xml:space="preserve">0.8870</t>
  </si>
  <si>
    <t xml:space="preserve">"Por estar fuera todo el día, ahora no se enteran de nada. </t>
  </si>
  <si>
    <t xml:space="preserve">Por estaren fóra todo o día, agora non se enteran de nada. </t>
  </si>
  <si>
    <t xml:space="preserve">Por estar fóra todo o día, agora non se decatan de nada. </t>
  </si>
  <si>
    <t xml:space="preserve">Por estar fóra todo o día, agora non se enteiran de nada.</t>
  </si>
  <si>
    <t xml:space="preserve">Ao estar fóra todo o día, agora non se decatan de nada.</t>
  </si>
  <si>
    <t xml:space="preserve">"Para que ella encienda la calefacción, tiene que pasar mucho frío. </t>
  </si>
  <si>
    <t xml:space="preserve">Ata prender ela a calefacción ten que pasar moito frío. </t>
  </si>
  <si>
    <t xml:space="preserve">Para que ela acenda a calefacción, ten que pasar moito frío. </t>
  </si>
  <si>
    <t xml:space="preserve">Para que ela acenda a calefacción, ten que pasar moito frío.</t>
  </si>
  <si>
    <t xml:space="preserve">Para que acenda a calefacción, ten que ter moito frío.</t>
  </si>
  <si>
    <t xml:space="preserve">0.9472</t>
  </si>
  <si>
    <t xml:space="preserve">"Es mejor que estudies un poco todos los días y que no dejes todo para el día antes del examen. </t>
  </si>
  <si>
    <t xml:space="preserve">É mellor estudares un pouco todos os días e non deixares todo para o día antes do exame. </t>
  </si>
  <si>
    <t xml:space="preserve">É mellor que estudes un pouco todos os días e que non deixes todo para o día antes do exame. </t>
  </si>
  <si>
    <t xml:space="preserve">É mellor que estudes un pouco todos os días e que non deixes todo para o día antes do exame.</t>
  </si>
  <si>
    <t xml:space="preserve">É mellor que estúdies un pouco cada día e non deixes todo para o día antes do exame.</t>
  </si>
  <si>
    <t xml:space="preserve">0.8761</t>
  </si>
  <si>
    <t xml:space="preserve">0.8181</t>
  </si>
  <si>
    <t xml:space="preserve">"Tomo un café con leche todas las mañanas. </t>
  </si>
  <si>
    <t xml:space="preserve">Tomo un café con leite todas as mañás. </t>
  </si>
  <si>
    <t xml:space="preserve">Tomo un café con leite todas as mañás.</t>
  </si>
  <si>
    <t xml:space="preserve">Tomo un café con leite cada mañá.</t>
  </si>
  <si>
    <t xml:space="preserve">0.9583</t>
  </si>
  <si>
    <t xml:space="preserve">Ya sabes que no puedes tomar azúcar, tienes que tomar sacarina.</t>
  </si>
  <si>
    <t xml:space="preserve">Xa sabes que non podes tomar azucre, tes que tomar sacarina. </t>
  </si>
  <si>
    <t xml:space="preserve">Xa sabes que non podes tomar azucre, tes que tomar sacarina.</t>
  </si>
  <si>
    <t xml:space="preserve">Sabes que non podes tomar azucre";" tes que tomar sacarina.</t>
  </si>
  <si>
    <t xml:space="preserve">0.9750</t>
  </si>
  <si>
    <t xml:space="preserve">comet</t>
  </si>
  <si>
    <t xml:space="preserve">"Hace una tortilla de patata muy rica. </t>
  </si>
  <si>
    <t xml:space="preserve">Fai unha tortilla de pataca moi rica. </t>
  </si>
  <si>
    <t xml:space="preserve">Fai unha tortilla de pataca moi rica.</t>
  </si>
  <si>
    <t xml:space="preserve">Fai unha tortilla de pataca moi boa.</t>
  </si>
  <si>
    <t xml:space="preserve">"Aún tenemos mucho tiempo por delante. </t>
  </si>
  <si>
    <t xml:space="preserve">Aínda temos moito tempo por diante. </t>
  </si>
  <si>
    <t xml:space="preserve">Aínda temos moito tempo por diante.</t>
  </si>
  <si>
    <t xml:space="preserve">Temos aínda moito tempo por diante.</t>
  </si>
  <si>
    <t xml:space="preserve">0.9790</t>
  </si>
  <si>
    <t xml:space="preserve">"Ya sabéis que es importante que participéis en clase. </t>
  </si>
  <si>
    <t xml:space="preserve">Xa sabedes que é importante que participedes na clase. </t>
  </si>
  <si>
    <t xml:space="preserve">Xa sabedes que é importante que participedes en clase.</t>
  </si>
  <si>
    <t xml:space="preserve">Como xa sabedes, é importante que participedes nas clases.</t>
  </si>
  <si>
    <t xml:space="preserve">0.9070</t>
  </si>
  <si>
    <t xml:space="preserve">"Dejan el ordenador todos los días en la oficina. </t>
  </si>
  <si>
    <t xml:space="preserve">Deixan a computadora todos os días na oficina. </t>
  </si>
  <si>
    <t xml:space="preserve">Deixan o ordenador todos os días na oficina. </t>
  </si>
  <si>
    <t xml:space="preserve">Deixan o ordenador todos os días na oficina.</t>
  </si>
  <si>
    <t xml:space="preserve">Deixan o ordenador na oficina todos os días.</t>
  </si>
  <si>
    <t xml:space="preserve">"En la universidad me pidieron que haga un blog. </t>
  </si>
  <si>
    <t xml:space="preserve">Na universidade pedíronme que faga un blog. </t>
  </si>
  <si>
    <t xml:space="preserve">Na universidade pedíronme que fixese un blog. </t>
  </si>
  <si>
    <t xml:space="preserve">Na universidade pedíronme que fixera un blog.</t>
  </si>
  <si>
    <t xml:space="preserve">A universidade pediume que crease un blog.</t>
  </si>
  <si>
    <t xml:space="preserve">0.9564</t>
  </si>
  <si>
    <t xml:space="preserve">No hagas caso a lo que te digan, tú estudia lo que te guste.</t>
  </si>
  <si>
    <t xml:space="preserve">Non fagas caso ao que che digan, ti estuda o que che guste. </t>
  </si>
  <si>
    <t xml:space="preserve">Non fagas caso do que che digan, ti estuda o que che guste. </t>
  </si>
  <si>
    <t xml:space="preserve">Non fagas caso ao que che digan, ti estuda o que che guste.</t>
  </si>
  <si>
    <t xml:space="preserve">Non prestes atención ao que che digan";" estuda o que che guste.</t>
  </si>
  <si>
    <t xml:space="preserve">"No es necesario que cuente toda la historia del Renacimiento, pero sí los hechos más relevantes. </t>
  </si>
  <si>
    <t xml:space="preserve">Non é necesario que conte toda a historia do Renacemento, pero si os fitos máis salientables. </t>
  </si>
  <si>
    <t xml:space="preserve">Non é necesario que conte toda a historia do Renacemento, pero si os feitos máis relevantes. </t>
  </si>
  <si>
    <t xml:space="preserve">Non é necesario que contes toda a historia do Renacemento, pero si os feitos máis relevantes.</t>
  </si>
  <si>
    <t xml:space="preserve">Non é necesario que conte toda a historia do Renacemento, pero si os feitos máis relevantes.</t>
  </si>
  <si>
    <t xml:space="preserve">0.8745</t>
  </si>
  <si>
    <t xml:space="preserve">0.8200</t>
  </si>
  <si>
    <t xml:space="preserve">"Que queramos ir de vacaciones al sur no quiere decir que no nos gusten las playas del norte. </t>
  </si>
  <si>
    <t xml:space="preserve">Que queiramos ir de vacacións ao sur non quere dicir que non nos gusten as praias do norte. </t>
  </si>
  <si>
    <t xml:space="preserve">Que queiramos ir de vacacións ao sur non quere dicir que non nos gusten as praias do norte.</t>
  </si>
  <si>
    <t xml:space="preserve">O feito de que queiramos ir de vacacións ao sur non significa que non nos gusten as praias do norte.</t>
  </si>
  <si>
    <t xml:space="preserve">"Eso no significa que podáis elegir. </t>
  </si>
  <si>
    <t xml:space="preserve">Iso non significa que poidades elixir. </t>
  </si>
  <si>
    <t xml:space="preserve">Iso non significa que poidades elixir.</t>
  </si>
  <si>
    <t xml:space="preserve">Iso non significa que poida escoller.</t>
  </si>
  <si>
    <t xml:space="preserve">0.9559</t>
  </si>
  <si>
    <t xml:space="preserve">0.8305</t>
  </si>
  <si>
    <t xml:space="preserve">"Si no quieren irse y volver por la tarde, entonces que coman en la cafetería de la universidad. </t>
  </si>
  <si>
    <t xml:space="preserve">Se non queren marchar e volver pola tarde, entón que coman na cafetaría da universidade. </t>
  </si>
  <si>
    <t xml:space="preserve">Se non queren marchar e volver pola tarde, entón que coman na cafetería da universidade. </t>
  </si>
  <si>
    <t xml:space="preserve">Se non queren irse e volver pola tarde, entón que coman na cafetería da universidade.</t>
  </si>
  <si>
    <t xml:space="preserve">Se non queren marchar e volver pola tarde, poden comer na cafetería da universidade.</t>
  </si>
  <si>
    <t xml:space="preserve">0.9881</t>
  </si>
  <si>
    <t xml:space="preserve">"Decía que no me importaba, pero era mentira. </t>
  </si>
  <si>
    <t xml:space="preserve">Dicía que non me importaba, pero era mentira. </t>
  </si>
  <si>
    <t xml:space="preserve">Dicía que non me importaba, mais era mentira. </t>
  </si>
  <si>
    <t xml:space="preserve">Dicía que non me importaba, pero era mentira.</t>
  </si>
  <si>
    <t xml:space="preserve">Dixen que non me importaba, pero mentín.</t>
  </si>
  <si>
    <t xml:space="preserve">0.8910</t>
  </si>
  <si>
    <t xml:space="preserve">0.8328</t>
  </si>
  <si>
    <t xml:space="preserve">"Querías que dijera que fuiste a la reunión de la semana pasada, pero no voy a mentir por nadie. </t>
  </si>
  <si>
    <t xml:space="preserve">Querías que dixese que fuches á reunión da semana pasada, pero non vou mentir por ninguén. </t>
  </si>
  <si>
    <t xml:space="preserve">Querías que dixese que fuches á reunión da semana pasada, mais non vou mentir por ninguén. </t>
  </si>
  <si>
    <t xml:space="preserve">Querías que dixera que fora á reunión da semana pasada, pero non vou mentir por ninguén.</t>
  </si>
  <si>
    <t xml:space="preserve">Querías que dixese que fun á reunión da semana pasada, pero non vou mentir por ninguén.</t>
  </si>
  <si>
    <t xml:space="preserve">0.5985</t>
  </si>
  <si>
    <t xml:space="preserve">0.5855</t>
  </si>
  <si>
    <t xml:space="preserve">0.5997</t>
  </si>
  <si>
    <t xml:space="preserve">"Ella quería que le tocase la camiseta de regalo, pero le tocó la taza. </t>
  </si>
  <si>
    <t xml:space="preserve">Ela quería que lle tocase a camiseta de agasallo, pero lle tocou a taza. </t>
  </si>
  <si>
    <t xml:space="preserve">Ela quería que lle tocase a camiseta de agasallo, pero tocoulle a cunca. </t>
  </si>
  <si>
    <t xml:space="preserve">Ela quería que lle tocase a camiseta de regalo, pero tocoulle a taza.</t>
  </si>
  <si>
    <t xml:space="preserve">Ela quería que lle tocase a camiseta de agasallo, pero el tocoulle a cunca.</t>
  </si>
  <si>
    <t xml:space="preserve">0.6101</t>
  </si>
  <si>
    <t xml:space="preserve">0.5756</t>
  </si>
  <si>
    <t xml:space="preserve">"Pensábamos que era mala idea, pero al final salió todo bien. </t>
  </si>
  <si>
    <t xml:space="preserve">Pensabamos que era mala idea, mais ao final saíu todo ben. </t>
  </si>
  <si>
    <t xml:space="preserve">Pensabamos que era mala idea, pero ao final saíu todo ben. </t>
  </si>
  <si>
    <t xml:space="preserve">Pensabamos que era unha mala idea, pero ao final saíu todo ben.</t>
  </si>
  <si>
    <t xml:space="preserve">Pensabamos que era unha mala idea, pero ao final todo saíu ben.</t>
  </si>
  <si>
    <t xml:space="preserve">0.9208</t>
  </si>
  <si>
    <t xml:space="preserve">"Las niñas de Manuel creían en los vampiros cuando eran muy pequeñas. </t>
  </si>
  <si>
    <t xml:space="preserve">As nenas do Manuel crían nos vampiros cando eran moi pequenas. </t>
  </si>
  <si>
    <t xml:space="preserve">As nenas de Manuel crían nos vampiros cando eran moi pequenas. </t>
  </si>
  <si>
    <t xml:space="preserve">As nenas de Manuel crían nos vampiros cando eran moi pequenas.</t>
  </si>
  <si>
    <t xml:space="preserve">As nenas de Manuel crían en vampiros cando eran moi pequenas.</t>
  </si>
  <si>
    <t xml:space="preserve">"Pensabais que teníais la razón, pero no era así. </t>
  </si>
  <si>
    <t xml:space="preserve">Pensabades que tiñades a razón, pero non era así. </t>
  </si>
  <si>
    <t xml:space="preserve">Pensabades que tiñades a razón, pero non era así.</t>
  </si>
  <si>
    <t xml:space="preserve">Pensabades que tiñades razón, pero non era así.</t>
  </si>
  <si>
    <t xml:space="preserve">0.9888</t>
  </si>
  <si>
    <t xml:space="preserve">"Si lo supiésemos antes, no vendríamos. </t>
  </si>
  <si>
    <t xml:space="preserve">Se o soubésemos antes, non viriamos. </t>
  </si>
  <si>
    <t xml:space="preserve">Se o soubésemos antes, non viriamos.</t>
  </si>
  <si>
    <t xml:space="preserve">Se o soubésemos de antemán, non viríamos.</t>
  </si>
  <si>
    <t xml:space="preserve">"Por mucho dinero que ganases ahora, no lo podrías pagar. </t>
  </si>
  <si>
    <t xml:space="preserve">Por moitos cartos que gañases agora, non o poderías pagar. </t>
  </si>
  <si>
    <t xml:space="preserve">Por moito diñeiro que gañases agora, non o poderías pagar. </t>
  </si>
  <si>
    <t xml:space="preserve">Por moito diñeiro que gañases agora, non o poderías pagar.</t>
  </si>
  <si>
    <t xml:space="preserve">Por moito diñeiro que gañes agora, non o poderías pagar.</t>
  </si>
  <si>
    <t xml:space="preserve">0.9920</t>
  </si>
  <si>
    <t xml:space="preserve">"Me gustaría que me tocase la lotería. </t>
  </si>
  <si>
    <t xml:space="preserve">Gustaríame que me tocase a lotería. </t>
  </si>
  <si>
    <t xml:space="preserve">Gustaríame que me tocase a lotaría.</t>
  </si>
  <si>
    <t xml:space="preserve">Gustaríame gañar a lotería.</t>
  </si>
  <si>
    <t xml:space="preserve">0.9109</t>
  </si>
  <si>
    <t xml:space="preserve">"¡Ojalá parase de llover! </t>
  </si>
  <si>
    <t xml:space="preserve">Oxalá parase de chover! </t>
  </si>
  <si>
    <t xml:space="preserve">Ouh, que pare de chover!</t>
  </si>
  <si>
    <t xml:space="preserve">Oxalá deixase de chover!</t>
  </si>
  <si>
    <t xml:space="preserve">0.9055</t>
  </si>
  <si>
    <t xml:space="preserve">0.8561</t>
  </si>
  <si>
    <t xml:space="preserve">0.8721</t>
  </si>
  <si>
    <t xml:space="preserve">"Vosotros evitabais que se hablase de ese tema. </t>
  </si>
  <si>
    <t xml:space="preserve">Vós evitabades que se falase dese tema. </t>
  </si>
  <si>
    <t xml:space="preserve">Vós evitastes que se falase dese tema. </t>
  </si>
  <si>
    <t xml:space="preserve">Vós evitabades que se falase dese tema.</t>
  </si>
  <si>
    <t xml:space="preserve">Estabades evitando que se falase diso.</t>
  </si>
  <si>
    <t xml:space="preserve">0.8027</t>
  </si>
  <si>
    <t xml:space="preserve">0.6190</t>
  </si>
  <si>
    <t xml:space="preserve">0.6026</t>
  </si>
  <si>
    <t xml:space="preserve">"Es probable que ya existiesen esos inventos en aquella época. </t>
  </si>
  <si>
    <t xml:space="preserve">É probable que xa existisen eses inventos naquela época. </t>
  </si>
  <si>
    <t xml:space="preserve">É probable que xa existisen eses inventos naquela época.</t>
  </si>
  <si>
    <t xml:space="preserve">Estas invencións probablemente xa existían nese momento.</t>
  </si>
  <si>
    <t xml:space="preserve">0.8357</t>
  </si>
  <si>
    <t xml:space="preserve">0.8392</t>
  </si>
  <si>
    <t xml:space="preserve">"Creí que ya te habías ido. </t>
  </si>
  <si>
    <t xml:space="preserve">Crin que xa marcharas. </t>
  </si>
  <si>
    <t xml:space="preserve">Pensei que xa saíras. </t>
  </si>
  <si>
    <t xml:space="preserve">Creei que xa te ias.</t>
  </si>
  <si>
    <t xml:space="preserve">Pensaba que xa marcharas.</t>
  </si>
  <si>
    <t xml:space="preserve">0.8747</t>
  </si>
  <si>
    <t xml:space="preserve">0.8474</t>
  </si>
  <si>
    <t xml:space="preserve">"Hubo pinchos después de la conferencia. </t>
  </si>
  <si>
    <t xml:space="preserve">Houbo petiscos despois da conferencia. </t>
  </si>
  <si>
    <t xml:space="preserve">Houbo pinchos despois da conferencia. </t>
  </si>
  <si>
    <t xml:space="preserve">Houbo pinchos despois da conferencia.</t>
  </si>
  <si>
    <t xml:space="preserve">Despois da conferencia houbo pinchos.</t>
  </si>
  <si>
    <t xml:space="preserve">0.9275</t>
  </si>
  <si>
    <t xml:space="preserve">0.9945</t>
  </si>
  <si>
    <t xml:space="preserve">"Ayer llegaste una hora tarde. </t>
  </si>
  <si>
    <t xml:space="preserve">Onte chegaches unha hora tarde. </t>
  </si>
  <si>
    <t xml:space="preserve">Aínda chegaches unha hora tarde.</t>
  </si>
  <si>
    <t xml:space="preserve">Chegaches unha hora tarde onte.</t>
  </si>
  <si>
    <t xml:space="preserve">0.7221</t>
  </si>
  <si>
    <t xml:space="preserve">0.8276</t>
  </si>
  <si>
    <t xml:space="preserve">"Al final reconocieron sus errores. </t>
  </si>
  <si>
    <t xml:space="preserve">Ao final recoñeceron os seus erros. </t>
  </si>
  <si>
    <t xml:space="preserve">Ao final recoñeceron os seus erros.</t>
  </si>
  <si>
    <t xml:space="preserve">Ao final, recoñeceron os seus erros.</t>
  </si>
  <si>
    <t xml:space="preserve">"Os sentasteis en la mesa en cuanto llegasteis. </t>
  </si>
  <si>
    <t xml:space="preserve">Sentastes na mesa en canto chegastes. </t>
  </si>
  <si>
    <t xml:space="preserve">Sentástesvos na mesa en canto chegastes. </t>
  </si>
  <si>
    <t xml:space="preserve">Sentáronvos na mesa en canto chegastes.</t>
  </si>
  <si>
    <t xml:space="preserve">Sentástesvos á mesa en canto chegastes.</t>
  </si>
  <si>
    <t xml:space="preserve">0.7751</t>
  </si>
  <si>
    <t xml:space="preserve">0.8252</t>
  </si>
  <si>
    <t xml:space="preserve">0.8230</t>
  </si>
  <si>
    <t xml:space="preserve">"Huimos en cuanto la vimos entrar por la puerta. </t>
  </si>
  <si>
    <t xml:space="preserve">Fuximos en canto a vimos entrar pola porta. </t>
  </si>
  <si>
    <t xml:space="preserve">Fuximos así que a vimos entrar pola porta. </t>
  </si>
  <si>
    <t xml:space="preserve">Fuximos en canto a vimos entrar pola porta.</t>
  </si>
  <si>
    <t xml:space="preserve">Fuximos cando a vimos entrar pola porta.</t>
  </si>
  <si>
    <t xml:space="preserve">0.9719</t>
  </si>
  <si>
    <t xml:space="preserve">"Yo ya me había sentado cuando apareció Marta. </t>
  </si>
  <si>
    <t xml:space="preserve">Eu xa sentara cando apareceu Marta. </t>
  </si>
  <si>
    <t xml:space="preserve">Eu xa me sentara cando apareceu Marta. </t>
  </si>
  <si>
    <t xml:space="preserve">Eu xa me sentara cando apareceu Marta.</t>
  </si>
  <si>
    <t xml:space="preserve">Eu xa estaba sentado cando chegou Marta.</t>
  </si>
  <si>
    <t xml:space="preserve">0.9812</t>
  </si>
  <si>
    <t xml:space="preserve">"Cuando empezó el evento, tú ya te habías ido. </t>
  </si>
  <si>
    <t xml:space="preserve">Cando comezou o evento, ti xa marcharas. </t>
  </si>
  <si>
    <t xml:space="preserve">Cando comezou o evento, ti xa marchaches. </t>
  </si>
  <si>
    <t xml:space="preserve">Cando comezou o evento, ti xa te marcharas.</t>
  </si>
  <si>
    <t xml:space="preserve">Cando comezou o evento, ti xa marcharas.</t>
  </si>
  <si>
    <t xml:space="preserve">0.6962</t>
  </si>
  <si>
    <t xml:space="preserve">0.5852</t>
  </si>
  <si>
    <t xml:space="preserve">0.5782</t>
  </si>
  <si>
    <t xml:space="preserve">"Cuando llamó ya había cogido el tren. </t>
  </si>
  <si>
    <t xml:space="preserve">Cando chamou xa collera o tren. </t>
  </si>
  <si>
    <t xml:space="preserve">Cando chamou xa collera o tren.</t>
  </si>
  <si>
    <t xml:space="preserve">Chamou cando xa collera o tren.</t>
  </si>
  <si>
    <t xml:space="preserve">"Llegó tan tarde que nosotros ya habíamos ido a la cafetería, ya nos habíamos ido y ya habíamos vuelto a por otro café. </t>
  </si>
  <si>
    <t xml:space="preserve">Chegou tan tarde que nós xa foramos á cafetaría, xa marcharamos e xa volveramos por outro café. </t>
  </si>
  <si>
    <t xml:space="preserve">Chegou tan tarde que nós xa marcharamos á cafetería, xa nos tiñamos ido e xa volveramos por outro café. </t>
  </si>
  <si>
    <t xml:space="preserve">Chegou tan tarde que nós xa iamos á cafetería, xa iamos e xa volvemos por outro café.</t>
  </si>
  <si>
    <t xml:space="preserve">Chegou tan tarde que nós xa marcharamos á cafetería, xa nos marcharamos e xa volveramos por outro café.</t>
  </si>
  <si>
    <t xml:space="preserve">0.8838</t>
  </si>
  <si>
    <t xml:space="preserve">0.8346</t>
  </si>
  <si>
    <t xml:space="preserve">0.8303</t>
  </si>
  <si>
    <t xml:space="preserve">"Vosotros ya habíais empezado la actuación cuando llegó. </t>
  </si>
  <si>
    <t xml:space="preserve">Vós xa comezarades coa actuación cando chegou. </t>
  </si>
  <si>
    <t xml:space="preserve">Vós xa comezarades a actuación cando chegou. </t>
  </si>
  <si>
    <t xml:space="preserve">Vós xa comezara a actuación cando chegou.</t>
  </si>
  <si>
    <t xml:space="preserve">Vosotros xa comezabades a tocar cando el chegou.</t>
  </si>
  <si>
    <t xml:space="preserve">0.7608</t>
  </si>
  <si>
    <t xml:space="preserve">0.6106</t>
  </si>
  <si>
    <t xml:space="preserve">"Ya lo habían hecho antes, no era la primera vez. </t>
  </si>
  <si>
    <t xml:space="preserve">Xa o fixeran antes, non era a primeira vez. </t>
  </si>
  <si>
    <t xml:space="preserve">Xa o tiñan feito antes, non era a primeira vez. </t>
  </si>
  <si>
    <t xml:space="preserve">Xa o fixeran antes, non era a primeira vez.</t>
  </si>
  <si>
    <t xml:space="preserve">Fixérono antes, non era a primeira vez.</t>
  </si>
  <si>
    <t xml:space="preserve">0.8272</t>
  </si>
  <si>
    <t xml:space="preserve">"Hice lo que me mandaron hacer. </t>
  </si>
  <si>
    <t xml:space="preserve">Fixen o que me mandaron facer. </t>
  </si>
  <si>
    <t xml:space="preserve">Fixen o que me mandaron facer.</t>
  </si>
  <si>
    <t xml:space="preserve">Fixen o que me dixeron.</t>
  </si>
  <si>
    <t xml:space="preserve">0.9520</t>
  </si>
  <si>
    <t xml:space="preserve">0.8387</t>
  </si>
  <si>
    <t xml:space="preserve">0.8317</t>
  </si>
  <si>
    <t xml:space="preserve">"Has hecho un trabajo magnífico. </t>
  </si>
  <si>
    <t xml:space="preserve">Fixeches un traballo magnífico. </t>
  </si>
  <si>
    <t xml:space="preserve">Fixeches un traballo magnífico.</t>
  </si>
  <si>
    <t xml:space="preserve">"Hizo el examen tan bien que merece un diez. </t>
  </si>
  <si>
    <t xml:space="preserve">Fixo o exame tan ben que merece un dez. </t>
  </si>
  <si>
    <t xml:space="preserve">Fixo o exame tan ben que merece un dez.</t>
  </si>
  <si>
    <t xml:space="preserve">"Hicimos la cena entre las dos. </t>
  </si>
  <si>
    <t xml:space="preserve">Fixemos a cea entre as dúas. </t>
  </si>
  <si>
    <t xml:space="preserve">Fixemos a cea entre as dúas.</t>
  </si>
  <si>
    <t xml:space="preserve">"Han hecho lo que han podido, pero no han conseguido salvar al animal. </t>
  </si>
  <si>
    <t xml:space="preserve">Fixeron o que puideron, mais non conseguiron salvar ao animal. </t>
  </si>
  <si>
    <t xml:space="preserve">Fixeron o que puideron, pero non conseguiron salvar ao animal. </t>
  </si>
  <si>
    <t xml:space="preserve">Fixeron o que puideron, pero non puideron salvar o animal.</t>
  </si>
  <si>
    <t xml:space="preserve">Fixeron o que puideron, pero non conseguiron salvar o animal.</t>
  </si>
  <si>
    <t xml:space="preserve">0.9629</t>
  </si>
  <si>
    <t xml:space="preserve">"Lo que habéis hecho no está bien. </t>
  </si>
  <si>
    <t xml:space="preserve">O que fixestes non estivo ben. </t>
  </si>
  <si>
    <t xml:space="preserve">O que fixestes non está ben. </t>
  </si>
  <si>
    <t xml:space="preserve">O que fixestes non está ben.</t>
  </si>
  <si>
    <t xml:space="preserve">"Se puede evitar el consumo de drogas. </t>
  </si>
  <si>
    <t xml:space="preserve">O consumo de drogas pode ser evitado. </t>
  </si>
  <si>
    <t xml:space="preserve">Pódese evitar o consumo de drogas. </t>
  </si>
  <si>
    <t xml:space="preserve">Pódese evitar o consumo de drogas.</t>
  </si>
  <si>
    <t xml:space="preserve">O consumo de drogas pódese evitar.</t>
  </si>
  <si>
    <t xml:space="preserve">0.9694</t>
  </si>
  <si>
    <t xml:space="preserve">"Se expulsó al jugador del campo con tarjeta roja. </t>
  </si>
  <si>
    <t xml:space="preserve">O xogador foi expulsado do campo con tarxeta vermella. </t>
  </si>
  <si>
    <t xml:space="preserve">Expulsouse ao xogador do campo con tarxeta vermella. </t>
  </si>
  <si>
    <t xml:space="preserve">Expulsou o xogador do campo co cartón vermello.</t>
  </si>
  <si>
    <t xml:space="preserve">O xogador foi expulsado do campo con tarxeta vermella.</t>
  </si>
  <si>
    <t xml:space="preserve">"El edificio lo diseñó un arquitecto de Nueva York. </t>
  </si>
  <si>
    <t xml:space="preserve">O edificio foi deseñado por un arquitecto de Nova York. </t>
  </si>
  <si>
    <t xml:space="preserve">O edificio deseñouno un arquitecto de Nova York. </t>
  </si>
  <si>
    <t xml:space="preserve">O edificio foi deseñado por un arquitecto de Nova York.</t>
  </si>
  <si>
    <t xml:space="preserve">"Esa tarea ya se la asignaron la semana pasada. </t>
  </si>
  <si>
    <t xml:space="preserve">Esa tarefa xa lle foi encomendada a semana pasada. </t>
  </si>
  <si>
    <t xml:space="preserve">Esa tarefa xa foi atribuída a semana pasada. </t>
  </si>
  <si>
    <t xml:space="preserve">Esa tarefa xa lle foi asignada a semana pasada.</t>
  </si>
  <si>
    <t xml:space="preserve">Esta tarefa xa se lles asignara a semana pasada.</t>
  </si>
  <si>
    <t xml:space="preserve">0.7921</t>
  </si>
  <si>
    <t xml:space="preserve">0.5874</t>
  </si>
  <si>
    <t xml:space="preserve">0.5930</t>
  </si>
  <si>
    <t xml:space="preserve">"Su pedido ya ha sido entregado al repartidor. </t>
  </si>
  <si>
    <t xml:space="preserve">O seu pedido xa foi entregado ao repartidor. </t>
  </si>
  <si>
    <t xml:space="preserve">O seu pedido xa foi entregado ao repartidor.</t>
  </si>
  <si>
    <t xml:space="preserve">"</t>
  </si>
  <si>
    <t xml:space="preserve">0.9923</t>
  </si>
  <si>
    <t xml:space="preserve">0.9962</t>
  </si>
  <si>
    <t xml:space="preserve">Counts - BLEU: 161, COMET: 177, BLASER: 174";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</si>
</sst>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37"/>
  <sheetViews>
    <sheetView showFormulas="false" showGridLines="true" showRowColHeaders="true" showZeros="true" rightToLeft="false" tabSelected="true" showOutlineSymbols="true" defaultGridColor="true" view="normal" topLeftCell="D304" colorId="64" zoomScale="100" zoomScaleNormal="100" zoomScalePageLayoutView="100" workbookViewId="0">
      <selection pane="topLeft" activeCell="E322" activeCellId="0" sqref="E32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96.22"/>
    <col collapsed="false" customWidth="true" hidden="false" outlineLevel="0" max="2" min="2" style="0" width="41.6"/>
    <col collapsed="false" customWidth="true" hidden="false" outlineLevel="0" max="3" min="3" style="0" width="30.19"/>
    <col collapsed="false" customWidth="true" hidden="false" outlineLevel="0" max="4" min="4" style="0" width="31.02"/>
    <col collapsed="false" customWidth="true" hidden="false" outlineLevel="0" max="5" min="5" style="0" width="35.48"/>
    <col collapsed="false" customWidth="true" hidden="false" outlineLevel="0" max="8" min="6" style="0" width="5.05"/>
    <col collapsed="false" customWidth="true" hidden="false" outlineLevel="0" max="9" min="9" style="0" width="8.25"/>
    <col collapsed="false" customWidth="true" hidden="false" outlineLevel="0" max="10" min="10" style="0" width="8.11"/>
    <col collapsed="false" customWidth="true" hidden="false" outlineLevel="0" max="11" min="11" style="0" width="8.52"/>
    <col collapsed="false" customWidth="true" hidden="false" outlineLevel="0" max="12" min="12" style="0" width="9.92"/>
    <col collapsed="false" customWidth="true" hidden="false" outlineLevel="0" max="13" min="13" style="0" width="9.78"/>
    <col collapsed="false" customWidth="true" hidden="false" outlineLevel="0" max="14" min="14" style="0" width="10.2"/>
    <col collapsed="false" customWidth="true" hidden="false" outlineLevel="0" max="15" min="15" style="0" width="9.78"/>
    <col collapsed="false" customWidth="true" hidden="false" outlineLevel="0" max="16" min="16" style="0" width="9.64"/>
    <col collapsed="false" customWidth="true" hidden="false" outlineLevel="0" max="17" min="17" style="0" width="10.06"/>
    <col collapsed="false" customWidth="true" hidden="false" outlineLevel="0" max="18" min="18" style="0" width="7.78"/>
    <col collapsed="false" customWidth="true" hidden="false" outlineLevel="0" max="19" min="19" style="0" width="7.65"/>
    <col collapsed="false" customWidth="true" hidden="false" outlineLevel="0" max="20" min="20" style="0" width="7.37"/>
    <col collapsed="false" customWidth="true" hidden="false" outlineLevel="0" max="21" min="21" style="0" width="18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0" t="s">
        <v>22</v>
      </c>
      <c r="D2" s="0" t="s">
        <v>23</v>
      </c>
      <c r="E2" s="0" t="s">
        <v>24</v>
      </c>
      <c r="F2" s="0" t="n">
        <v>1</v>
      </c>
      <c r="G2" s="0" t="n">
        <v>1</v>
      </c>
      <c r="H2" s="0" t="n">
        <v>1</v>
      </c>
      <c r="I2" s="0" t="n">
        <v>100</v>
      </c>
      <c r="J2" s="0" t="n">
        <v>59.46</v>
      </c>
      <c r="K2" s="0" t="n">
        <v>100</v>
      </c>
      <c r="L2" s="0" t="n">
        <v>0.98</v>
      </c>
      <c r="M2" s="0" t="n">
        <v>0.96</v>
      </c>
      <c r="N2" s="0" t="n">
        <v>0.98</v>
      </c>
      <c r="O2" s="0" t="n">
        <v>4.92</v>
      </c>
      <c r="P2" s="0" t="n">
        <v>4.74</v>
      </c>
      <c r="Q2" s="0" t="n">
        <v>4.92</v>
      </c>
      <c r="R2" s="0" t="s">
        <v>25</v>
      </c>
      <c r="S2" s="0" t="s">
        <v>26</v>
      </c>
      <c r="T2" s="0" t="s">
        <v>27</v>
      </c>
      <c r="U2" s="0" t="s">
        <v>28</v>
      </c>
      <c r="V2" s="0" t="n">
        <f aca="false">(I2/100 + O2/5) / 2</f>
        <v>0.992</v>
      </c>
      <c r="W2" s="0" t="n">
        <f aca="false">(J2/100 + P2/5) / 2</f>
        <v>0.7713</v>
      </c>
      <c r="X2" s="0" t="n">
        <f aca="false">(K2/100 + Q2/5) / 2</f>
        <v>0.992</v>
      </c>
    </row>
    <row r="3" customFormat="false" ht="12.8" hidden="false" customHeight="false" outlineLevel="0" collapsed="false">
      <c r="A3" s="0" t="s">
        <v>29</v>
      </c>
      <c r="B3" s="0" t="s">
        <v>30</v>
      </c>
      <c r="C3" s="0" t="s">
        <v>30</v>
      </c>
      <c r="D3" s="0" t="s">
        <v>31</v>
      </c>
      <c r="E3" s="0" t="s">
        <v>32</v>
      </c>
      <c r="F3" s="0" t="n">
        <v>1</v>
      </c>
      <c r="G3" s="0" t="n">
        <v>0</v>
      </c>
      <c r="H3" s="0" t="n">
        <v>1</v>
      </c>
      <c r="I3" s="0" t="n">
        <v>100</v>
      </c>
      <c r="J3" s="0" t="n">
        <v>37.99</v>
      </c>
      <c r="K3" s="0" t="n">
        <v>32.47</v>
      </c>
      <c r="L3" s="0" t="n">
        <v>0.99</v>
      </c>
      <c r="M3" s="0" t="n">
        <v>0.94</v>
      </c>
      <c r="N3" s="0" t="n">
        <v>0.93</v>
      </c>
      <c r="O3" s="0" t="n">
        <v>4.82</v>
      </c>
      <c r="P3" s="0" t="n">
        <v>4.59</v>
      </c>
      <c r="Q3" s="0" t="n">
        <v>4.3</v>
      </c>
      <c r="R3" s="0" t="s">
        <v>33</v>
      </c>
      <c r="S3" s="0" t="s">
        <v>34</v>
      </c>
      <c r="T3" s="0" t="s">
        <v>35</v>
      </c>
      <c r="U3" s="0" t="s">
        <v>36</v>
      </c>
      <c r="V3" s="0" t="n">
        <f aca="false">(I3/100 + O3/5) / 2</f>
        <v>0.982</v>
      </c>
      <c r="W3" s="0" t="n">
        <f aca="false">(J3/100 + P3/5) / 2</f>
        <v>0.64895</v>
      </c>
      <c r="X3" s="0" t="n">
        <f aca="false">(K3/100 + Q3/5) / 2</f>
        <v>0.59235</v>
      </c>
    </row>
    <row r="4" customFormat="false" ht="12.8" hidden="false" customHeight="false" outlineLevel="0" collapsed="false">
      <c r="A4" s="0" t="s">
        <v>37</v>
      </c>
      <c r="B4" s="0" t="s">
        <v>38</v>
      </c>
      <c r="C4" s="0" t="s">
        <v>39</v>
      </c>
      <c r="D4" s="0" t="s">
        <v>40</v>
      </c>
      <c r="E4" s="0" t="s">
        <v>41</v>
      </c>
      <c r="F4" s="0" t="n">
        <v>1</v>
      </c>
      <c r="G4" s="0" t="n">
        <v>1</v>
      </c>
      <c r="H4" s="0" t="n">
        <v>0</v>
      </c>
      <c r="I4" s="0" t="n">
        <v>59.75</v>
      </c>
      <c r="J4" s="0" t="n">
        <v>57.49</v>
      </c>
      <c r="K4" s="0" t="n">
        <v>19.35</v>
      </c>
      <c r="L4" s="0" t="n">
        <v>0.84</v>
      </c>
      <c r="M4" s="0" t="n">
        <v>0.85</v>
      </c>
      <c r="N4" s="0" t="n">
        <v>0.83</v>
      </c>
      <c r="O4" s="0" t="n">
        <v>4.66</v>
      </c>
      <c r="P4" s="0" t="n">
        <v>4.67</v>
      </c>
      <c r="Q4" s="0" t="n">
        <v>4.5</v>
      </c>
      <c r="R4" s="0" t="s">
        <v>42</v>
      </c>
      <c r="S4" s="0" t="s">
        <v>43</v>
      </c>
      <c r="T4" s="0" t="s">
        <v>44</v>
      </c>
      <c r="U4" s="0" t="s">
        <v>36</v>
      </c>
      <c r="V4" s="0" t="n">
        <f aca="false">(I4/100 + O4/5) / 2</f>
        <v>0.76475</v>
      </c>
      <c r="W4" s="0" t="n">
        <f aca="false">(J4/100 + P4/5) / 2</f>
        <v>0.75445</v>
      </c>
      <c r="X4" s="0" t="n">
        <f aca="false">(K4/100 + Q4/5) / 2</f>
        <v>0.54675</v>
      </c>
    </row>
    <row r="5" customFormat="false" ht="12.8" hidden="false" customHeight="false" outlineLevel="0" collapsed="false">
      <c r="A5" s="0" t="s">
        <v>45</v>
      </c>
      <c r="B5" s="0" t="s">
        <v>46</v>
      </c>
      <c r="C5" s="0" t="s">
        <v>46</v>
      </c>
      <c r="D5" s="0" t="s">
        <v>47</v>
      </c>
      <c r="E5" s="0" t="s">
        <v>48</v>
      </c>
      <c r="F5" s="0" t="n">
        <v>1</v>
      </c>
      <c r="G5" s="0" t="n">
        <v>1</v>
      </c>
      <c r="H5" s="0" t="n">
        <v>1</v>
      </c>
      <c r="I5" s="0" t="n">
        <v>100</v>
      </c>
      <c r="J5" s="0" t="n">
        <v>100</v>
      </c>
      <c r="K5" s="0" t="n">
        <v>70.17</v>
      </c>
      <c r="L5" s="0" t="n">
        <v>0.98</v>
      </c>
      <c r="M5" s="0" t="n">
        <v>0.98</v>
      </c>
      <c r="N5" s="0" t="n">
        <v>0.97</v>
      </c>
      <c r="O5" s="0" t="n">
        <v>4.77</v>
      </c>
      <c r="P5" s="0" t="n">
        <v>4.77</v>
      </c>
      <c r="Q5" s="0" t="n">
        <v>4.69</v>
      </c>
      <c r="R5" s="0" t="s">
        <v>49</v>
      </c>
      <c r="S5" s="0" t="s">
        <v>26</v>
      </c>
      <c r="T5" s="0" t="s">
        <v>26</v>
      </c>
      <c r="U5" s="0" t="s">
        <v>50</v>
      </c>
      <c r="V5" s="0" t="n">
        <f aca="false">(I5/100 + O5/5) / 2</f>
        <v>0.977</v>
      </c>
      <c r="W5" s="0" t="n">
        <f aca="false">(J5/100 + P5/5) / 2</f>
        <v>0.977</v>
      </c>
      <c r="X5" s="0" t="n">
        <f aca="false">(K5/100 + Q5/5) / 2</f>
        <v>0.81985</v>
      </c>
    </row>
    <row r="6" customFormat="false" ht="12.8" hidden="false" customHeight="false" outlineLevel="0" collapsed="false">
      <c r="A6" s="0" t="s">
        <v>51</v>
      </c>
      <c r="B6" s="0" t="s">
        <v>52</v>
      </c>
      <c r="C6" s="0" t="s">
        <v>52</v>
      </c>
      <c r="D6" s="0" t="s">
        <v>53</v>
      </c>
      <c r="E6" s="0" t="s">
        <v>53</v>
      </c>
      <c r="F6" s="0" t="n">
        <v>1</v>
      </c>
      <c r="G6" s="0" t="n">
        <v>1</v>
      </c>
      <c r="H6" s="0" t="n">
        <v>1</v>
      </c>
      <c r="I6" s="0" t="n">
        <v>100</v>
      </c>
      <c r="J6" s="0" t="n">
        <v>100</v>
      </c>
      <c r="K6" s="0" t="n">
        <v>100</v>
      </c>
      <c r="L6" s="0" t="n">
        <v>0.98</v>
      </c>
      <c r="M6" s="0" t="n">
        <v>0.98</v>
      </c>
      <c r="N6" s="0" t="n">
        <v>0.98</v>
      </c>
      <c r="O6" s="0" t="n">
        <v>4.93</v>
      </c>
      <c r="P6" s="0" t="n">
        <v>4.93</v>
      </c>
      <c r="Q6" s="0" t="n">
        <v>4.93</v>
      </c>
      <c r="R6" s="0" t="s">
        <v>26</v>
      </c>
      <c r="S6" s="0" t="s">
        <v>26</v>
      </c>
      <c r="T6" s="0" t="s">
        <v>26</v>
      </c>
      <c r="U6" s="0" t="s">
        <v>54</v>
      </c>
      <c r="V6" s="0" t="n">
        <f aca="false">(I6/100 + O6/5) / 2</f>
        <v>0.993</v>
      </c>
      <c r="W6" s="0" t="n">
        <f aca="false">(J6/100 + P6/5) / 2</f>
        <v>0.993</v>
      </c>
      <c r="X6" s="0" t="n">
        <f aca="false">(K6/100 + Q6/5) / 2</f>
        <v>0.993</v>
      </c>
    </row>
    <row r="7" customFormat="false" ht="12.8" hidden="false" customHeight="false" outlineLevel="0" collapsed="false">
      <c r="A7" s="0" t="s">
        <v>55</v>
      </c>
      <c r="B7" s="0" t="s">
        <v>56</v>
      </c>
      <c r="C7" s="0" t="s">
        <v>57</v>
      </c>
      <c r="D7" s="0" t="s">
        <v>58</v>
      </c>
      <c r="E7" s="0" t="s">
        <v>59</v>
      </c>
      <c r="F7" s="0" t="n">
        <v>1</v>
      </c>
      <c r="G7" s="0" t="n">
        <v>1</v>
      </c>
      <c r="H7" s="0" t="n">
        <v>0</v>
      </c>
      <c r="I7" s="0" t="n">
        <v>47.54</v>
      </c>
      <c r="J7" s="0" t="n">
        <v>18.6</v>
      </c>
      <c r="K7" s="0" t="n">
        <v>24.7</v>
      </c>
      <c r="L7" s="0" t="n">
        <v>0.96</v>
      </c>
      <c r="M7" s="0" t="n">
        <v>0.71</v>
      </c>
      <c r="N7" s="0" t="n">
        <v>0.87</v>
      </c>
      <c r="O7" s="0" t="n">
        <v>4.71</v>
      </c>
      <c r="P7" s="0" t="n">
        <v>3.88</v>
      </c>
      <c r="Q7" s="0" t="n">
        <v>4.15</v>
      </c>
      <c r="R7" s="0" t="s">
        <v>60</v>
      </c>
      <c r="S7" s="0" t="s">
        <v>61</v>
      </c>
      <c r="T7" s="0" t="s">
        <v>62</v>
      </c>
      <c r="U7" s="0" t="s">
        <v>36</v>
      </c>
      <c r="V7" s="0" t="n">
        <f aca="false">(I7/100 + O7/5) / 2</f>
        <v>0.7087</v>
      </c>
      <c r="W7" s="0" t="n">
        <f aca="false">(J7/100 + P7/5) / 2</f>
        <v>0.481</v>
      </c>
      <c r="X7" s="0" t="n">
        <f aca="false">(K7/100 + Q7/5) / 2</f>
        <v>0.5385</v>
      </c>
    </row>
    <row r="8" customFormat="false" ht="12.8" hidden="false" customHeight="false" outlineLevel="0" collapsed="false">
      <c r="A8" s="0" t="s">
        <v>63</v>
      </c>
      <c r="B8" s="0" t="s">
        <v>64</v>
      </c>
      <c r="C8" s="0" t="s">
        <v>65</v>
      </c>
      <c r="D8" s="0" t="s">
        <v>66</v>
      </c>
      <c r="E8" s="0" t="s">
        <v>67</v>
      </c>
      <c r="F8" s="0" t="n">
        <v>1</v>
      </c>
      <c r="G8" s="0" t="n">
        <v>1</v>
      </c>
      <c r="H8" s="0" t="n">
        <v>0</v>
      </c>
      <c r="I8" s="0" t="n">
        <v>70.17</v>
      </c>
      <c r="J8" s="0" t="n">
        <v>70.17</v>
      </c>
      <c r="K8" s="0" t="n">
        <v>29</v>
      </c>
      <c r="L8" s="0" t="n">
        <v>0.85</v>
      </c>
      <c r="M8" s="0" t="n">
        <v>0.85</v>
      </c>
      <c r="N8" s="0" t="n">
        <v>0.75</v>
      </c>
      <c r="O8" s="0" t="n">
        <v>3.96</v>
      </c>
      <c r="P8" s="0" t="n">
        <v>3.96</v>
      </c>
      <c r="Q8" s="0" t="n">
        <v>3.09</v>
      </c>
      <c r="R8" s="0" t="s">
        <v>68</v>
      </c>
      <c r="S8" s="0" t="s">
        <v>69</v>
      </c>
      <c r="T8" s="0" t="s">
        <v>70</v>
      </c>
      <c r="U8" s="0" t="s">
        <v>36</v>
      </c>
      <c r="V8" s="0" t="n">
        <f aca="false">(I8/100 + O8/5) / 2</f>
        <v>0.74685</v>
      </c>
      <c r="W8" s="0" t="n">
        <f aca="false">(J8/100 + P8/5) / 2</f>
        <v>0.74685</v>
      </c>
      <c r="X8" s="0" t="n">
        <f aca="false">(K8/100 + Q8/5) / 2</f>
        <v>0.454</v>
      </c>
    </row>
    <row r="9" customFormat="false" ht="12.8" hidden="false" customHeight="false" outlineLevel="0" collapsed="false">
      <c r="A9" s="0" t="s">
        <v>71</v>
      </c>
      <c r="B9" s="0" t="s">
        <v>72</v>
      </c>
      <c r="C9" s="0" t="s">
        <v>72</v>
      </c>
      <c r="D9" s="0" t="s">
        <v>73</v>
      </c>
      <c r="E9" s="0" t="s">
        <v>74</v>
      </c>
      <c r="F9" s="0" t="n">
        <v>1</v>
      </c>
      <c r="G9" s="0" t="n">
        <v>0</v>
      </c>
      <c r="H9" s="0" t="n">
        <v>1</v>
      </c>
      <c r="I9" s="0" t="n">
        <v>100</v>
      </c>
      <c r="J9" s="0" t="n">
        <v>36.56</v>
      </c>
      <c r="K9" s="0" t="n">
        <v>72.6</v>
      </c>
      <c r="L9" s="0" t="n">
        <v>0.98</v>
      </c>
      <c r="M9" s="0" t="n">
        <v>0.77</v>
      </c>
      <c r="N9" s="0" t="n">
        <v>0.96</v>
      </c>
      <c r="O9" s="0" t="n">
        <v>4.7</v>
      </c>
      <c r="P9" s="0" t="n">
        <v>4.06</v>
      </c>
      <c r="Q9" s="0" t="n">
        <v>4.54</v>
      </c>
      <c r="R9" s="0" t="s">
        <v>75</v>
      </c>
      <c r="S9" s="0" t="s">
        <v>76</v>
      </c>
      <c r="T9" s="0" t="s">
        <v>77</v>
      </c>
      <c r="U9" s="0" t="s">
        <v>36</v>
      </c>
      <c r="V9" s="0" t="n">
        <f aca="false">(I9/100 + O9/5) / 2</f>
        <v>0.97</v>
      </c>
      <c r="W9" s="0" t="n">
        <f aca="false">(J9/100 + P9/5) / 2</f>
        <v>0.5888</v>
      </c>
      <c r="X9" s="0" t="n">
        <f aca="false">(K9/100 + Q9/5) / 2</f>
        <v>0.817</v>
      </c>
    </row>
    <row r="10" customFormat="false" ht="12.8" hidden="false" customHeight="false" outlineLevel="0" collapsed="false">
      <c r="A10" s="0" t="s">
        <v>78</v>
      </c>
      <c r="B10" s="0" t="s">
        <v>79</v>
      </c>
      <c r="C10" s="0" t="s">
        <v>80</v>
      </c>
      <c r="D10" s="0" t="s">
        <v>81</v>
      </c>
      <c r="E10" s="0" t="s">
        <v>82</v>
      </c>
      <c r="F10" s="0" t="n">
        <v>0</v>
      </c>
      <c r="G10" s="0" t="n">
        <v>0</v>
      </c>
      <c r="H10" s="0" t="n">
        <v>1</v>
      </c>
      <c r="I10" s="0" t="n">
        <v>66.06</v>
      </c>
      <c r="J10" s="0" t="n">
        <v>66.06</v>
      </c>
      <c r="K10" s="0" t="n">
        <v>36.56</v>
      </c>
      <c r="L10" s="0" t="n">
        <v>0.85</v>
      </c>
      <c r="M10" s="0" t="n">
        <v>0.85</v>
      </c>
      <c r="N10" s="0" t="n">
        <v>0.89</v>
      </c>
      <c r="O10" s="0" t="n">
        <v>4.16</v>
      </c>
      <c r="P10" s="0" t="n">
        <v>4.16</v>
      </c>
      <c r="Q10" s="0" t="n">
        <v>4.06</v>
      </c>
      <c r="R10" s="0" t="s">
        <v>83</v>
      </c>
      <c r="S10" s="0" t="s">
        <v>84</v>
      </c>
      <c r="T10" s="0" t="s">
        <v>85</v>
      </c>
      <c r="U10" s="0" t="s">
        <v>28</v>
      </c>
      <c r="V10" s="0" t="n">
        <f aca="false">(I10/100 + O10/5) / 2</f>
        <v>0.7463</v>
      </c>
      <c r="W10" s="0" t="n">
        <f aca="false">(J10/100 + P10/5) / 2</f>
        <v>0.7463</v>
      </c>
      <c r="X10" s="0" t="n">
        <f aca="false">(K10/100 + Q10/5) / 2</f>
        <v>0.5888</v>
      </c>
    </row>
    <row r="11" customFormat="false" ht="12.8" hidden="false" customHeight="false" outlineLevel="0" collapsed="false">
      <c r="A11" s="0" t="s">
        <v>86</v>
      </c>
      <c r="B11" s="0" t="s">
        <v>87</v>
      </c>
      <c r="C11" s="0" t="s">
        <v>87</v>
      </c>
      <c r="D11" s="0" t="s">
        <v>88</v>
      </c>
      <c r="E11" s="0" t="s">
        <v>89</v>
      </c>
      <c r="F11" s="0" t="n">
        <v>1</v>
      </c>
      <c r="G11" s="0" t="n">
        <v>1</v>
      </c>
      <c r="H11" s="0" t="n">
        <v>1</v>
      </c>
      <c r="I11" s="0" t="n">
        <v>100</v>
      </c>
      <c r="J11" s="0" t="n">
        <v>100</v>
      </c>
      <c r="K11" s="0" t="n">
        <v>39.76</v>
      </c>
      <c r="L11" s="0" t="n">
        <v>0.97</v>
      </c>
      <c r="M11" s="0" t="n">
        <v>0.97</v>
      </c>
      <c r="N11" s="0" t="n">
        <v>0.84</v>
      </c>
      <c r="O11" s="0" t="n">
        <v>4.45</v>
      </c>
      <c r="P11" s="0" t="n">
        <v>4.45</v>
      </c>
      <c r="Q11" s="0" t="n">
        <v>4.33</v>
      </c>
      <c r="R11" s="0" t="s">
        <v>90</v>
      </c>
      <c r="S11" s="0" t="s">
        <v>91</v>
      </c>
      <c r="T11" s="0" t="s">
        <v>92</v>
      </c>
      <c r="U11" s="0" t="s">
        <v>93</v>
      </c>
      <c r="V11" s="0" t="n">
        <f aca="false">(I11/100 + O11/5) / 2</f>
        <v>0.945</v>
      </c>
      <c r="W11" s="0" t="n">
        <f aca="false">(J11/100 + P11/5) / 2</f>
        <v>0.945</v>
      </c>
      <c r="X11" s="0" t="n">
        <f aca="false">(K11/100 + Q11/5) / 2</f>
        <v>0.6318</v>
      </c>
    </row>
    <row r="12" customFormat="false" ht="12.8" hidden="false" customHeight="false" outlineLevel="0" collapsed="false">
      <c r="A12" s="0" t="s">
        <v>94</v>
      </c>
      <c r="B12" s="0" t="s">
        <v>95</v>
      </c>
      <c r="C12" s="0" t="s">
        <v>95</v>
      </c>
      <c r="D12" s="0" t="s">
        <v>96</v>
      </c>
      <c r="E12" s="0" t="s">
        <v>96</v>
      </c>
      <c r="F12" s="0" t="n">
        <v>1</v>
      </c>
      <c r="G12" s="0" t="n">
        <v>1</v>
      </c>
      <c r="H12" s="0" t="n">
        <v>1</v>
      </c>
      <c r="I12" s="0" t="n">
        <v>100</v>
      </c>
      <c r="J12" s="0" t="n">
        <v>100</v>
      </c>
      <c r="K12" s="0" t="n">
        <v>100</v>
      </c>
      <c r="L12" s="0" t="n">
        <v>0.98</v>
      </c>
      <c r="M12" s="0" t="n">
        <v>0.98</v>
      </c>
      <c r="N12" s="0" t="n">
        <v>0.98</v>
      </c>
      <c r="O12" s="0" t="n">
        <v>4.78</v>
      </c>
      <c r="P12" s="0" t="n">
        <v>4.78</v>
      </c>
      <c r="Q12" s="0" t="n">
        <v>4.78</v>
      </c>
      <c r="R12" s="0" t="s">
        <v>26</v>
      </c>
      <c r="S12" s="0" t="s">
        <v>26</v>
      </c>
      <c r="T12" s="0" t="s">
        <v>26</v>
      </c>
      <c r="U12" s="0" t="s">
        <v>54</v>
      </c>
      <c r="V12" s="0" t="n">
        <f aca="false">(I12/100 + O12/5) / 2</f>
        <v>0.978</v>
      </c>
      <c r="W12" s="0" t="n">
        <f aca="false">(J12/100 + P12/5) / 2</f>
        <v>0.978</v>
      </c>
      <c r="X12" s="0" t="n">
        <f aca="false">(K12/100 + Q12/5) / 2</f>
        <v>0.978</v>
      </c>
    </row>
    <row r="13" customFormat="false" ht="12.8" hidden="false" customHeight="false" outlineLevel="0" collapsed="false">
      <c r="A13" s="0" t="s">
        <v>97</v>
      </c>
      <c r="B13" s="0" t="s">
        <v>98</v>
      </c>
      <c r="C13" s="0" t="s">
        <v>99</v>
      </c>
      <c r="D13" s="0" t="s">
        <v>100</v>
      </c>
      <c r="E13" s="0" t="s">
        <v>101</v>
      </c>
      <c r="F13" s="0" t="n">
        <v>0</v>
      </c>
      <c r="G13" s="0" t="n">
        <v>1</v>
      </c>
      <c r="H13" s="0" t="n">
        <v>1</v>
      </c>
      <c r="I13" s="0" t="n">
        <v>53.73</v>
      </c>
      <c r="J13" s="0" t="n">
        <v>19.3</v>
      </c>
      <c r="K13" s="0" t="n">
        <v>53.73</v>
      </c>
      <c r="L13" s="0" t="n">
        <v>0.92</v>
      </c>
      <c r="M13" s="0" t="n">
        <v>0.82</v>
      </c>
      <c r="N13" s="0" t="n">
        <v>0.92</v>
      </c>
      <c r="O13" s="0" t="n">
        <v>3.97</v>
      </c>
      <c r="P13" s="0" t="n">
        <v>3.55</v>
      </c>
      <c r="Q13" s="0" t="n">
        <v>3.77</v>
      </c>
      <c r="R13" s="0" t="s">
        <v>102</v>
      </c>
      <c r="S13" s="0" t="s">
        <v>103</v>
      </c>
      <c r="T13" s="0" t="s">
        <v>104</v>
      </c>
      <c r="U13" s="0" t="s">
        <v>28</v>
      </c>
      <c r="V13" s="0" t="n">
        <f aca="false">(I13/100 + O13/5) / 2</f>
        <v>0.66565</v>
      </c>
      <c r="W13" s="0" t="n">
        <f aca="false">(J13/100 + P13/5) / 2</f>
        <v>0.4515</v>
      </c>
      <c r="X13" s="0" t="n">
        <f aca="false">(K13/100 + Q13/5) / 2</f>
        <v>0.64565</v>
      </c>
    </row>
    <row r="14" customFormat="false" ht="12.8" hidden="false" customHeight="false" outlineLevel="0" collapsed="false">
      <c r="A14" s="0" t="s">
        <v>105</v>
      </c>
      <c r="B14" s="0" t="s">
        <v>106</v>
      </c>
      <c r="C14" s="0" t="s">
        <v>107</v>
      </c>
      <c r="D14" s="0" t="s">
        <v>108</v>
      </c>
      <c r="E14" s="0" t="s">
        <v>109</v>
      </c>
      <c r="F14" s="0" t="n">
        <v>0</v>
      </c>
      <c r="G14" s="0" t="n">
        <v>1</v>
      </c>
      <c r="H14" s="0" t="n">
        <v>1</v>
      </c>
      <c r="I14" s="0" t="n">
        <v>61.15</v>
      </c>
      <c r="J14" s="0" t="n">
        <v>56.22</v>
      </c>
      <c r="K14" s="0" t="n">
        <v>47.86</v>
      </c>
      <c r="L14" s="0" t="n">
        <v>0.94</v>
      </c>
      <c r="M14" s="0" t="n">
        <v>0.94</v>
      </c>
      <c r="N14" s="0" t="n">
        <v>0.92</v>
      </c>
      <c r="O14" s="0" t="n">
        <v>4.94</v>
      </c>
      <c r="P14" s="0" t="n">
        <v>4.95</v>
      </c>
      <c r="Q14" s="0" t="n">
        <v>4.98</v>
      </c>
      <c r="R14" s="0" t="s">
        <v>110</v>
      </c>
      <c r="S14" s="0" t="s">
        <v>111</v>
      </c>
      <c r="T14" s="0" t="s">
        <v>112</v>
      </c>
      <c r="U14" s="0" t="s">
        <v>93</v>
      </c>
      <c r="V14" s="0" t="n">
        <f aca="false">(I14/100 + O14/5) / 2</f>
        <v>0.79975</v>
      </c>
      <c r="W14" s="0" t="n">
        <f aca="false">(J14/100 + P14/5) / 2</f>
        <v>0.7761</v>
      </c>
      <c r="X14" s="0" t="n">
        <f aca="false">(K14/100 + Q14/5) / 2</f>
        <v>0.7373</v>
      </c>
    </row>
    <row r="15" customFormat="false" ht="12.8" hidden="false" customHeight="false" outlineLevel="0" collapsed="false">
      <c r="A15" s="0" t="s">
        <v>113</v>
      </c>
      <c r="B15" s="0" t="s">
        <v>114</v>
      </c>
      <c r="C15" s="0" t="s">
        <v>115</v>
      </c>
      <c r="D15" s="0" t="s">
        <v>116</v>
      </c>
      <c r="E15" s="0" t="s">
        <v>117</v>
      </c>
      <c r="F15" s="0" t="n">
        <v>1</v>
      </c>
      <c r="G15" s="0" t="n">
        <v>1</v>
      </c>
      <c r="H15" s="0" t="n">
        <v>1</v>
      </c>
      <c r="I15" s="0" t="n">
        <v>65.8</v>
      </c>
      <c r="J15" s="0" t="n">
        <v>65.8</v>
      </c>
      <c r="K15" s="0" t="n">
        <v>38.63</v>
      </c>
      <c r="L15" s="0" t="n">
        <v>0.96</v>
      </c>
      <c r="M15" s="0" t="n">
        <v>0.96</v>
      </c>
      <c r="N15" s="0" t="n">
        <v>0.94</v>
      </c>
      <c r="O15" s="0" t="n">
        <v>4.78</v>
      </c>
      <c r="P15" s="0" t="n">
        <v>4.78</v>
      </c>
      <c r="Q15" s="0" t="n">
        <v>4.57</v>
      </c>
      <c r="R15" s="0" t="s">
        <v>118</v>
      </c>
      <c r="S15" s="0" t="s">
        <v>26</v>
      </c>
      <c r="T15" s="0" t="s">
        <v>27</v>
      </c>
      <c r="U15" s="0" t="s">
        <v>28</v>
      </c>
      <c r="V15" s="0" t="n">
        <f aca="false">(I15/100 + O15/5) / 2</f>
        <v>0.807</v>
      </c>
      <c r="W15" s="0" t="n">
        <f aca="false">(J15/100 + P15/5) / 2</f>
        <v>0.807</v>
      </c>
      <c r="X15" s="0" t="n">
        <f aca="false">(K15/100 + Q15/5) / 2</f>
        <v>0.65015</v>
      </c>
    </row>
    <row r="16" customFormat="false" ht="12.8" hidden="false" customHeight="false" outlineLevel="0" collapsed="false">
      <c r="A16" s="0" t="s">
        <v>119</v>
      </c>
      <c r="B16" s="0" t="s">
        <v>120</v>
      </c>
      <c r="C16" s="0" t="s">
        <v>120</v>
      </c>
      <c r="D16" s="0" t="s">
        <v>121</v>
      </c>
      <c r="E16" s="0" t="s">
        <v>122</v>
      </c>
      <c r="F16" s="0" t="n">
        <v>1</v>
      </c>
      <c r="G16" s="0" t="n">
        <v>1</v>
      </c>
      <c r="H16" s="0" t="n">
        <v>0</v>
      </c>
      <c r="I16" s="0" t="n">
        <v>100</v>
      </c>
      <c r="J16" s="0" t="n">
        <v>100</v>
      </c>
      <c r="K16" s="0" t="n">
        <v>82.82</v>
      </c>
      <c r="L16" s="0" t="n">
        <v>0.96</v>
      </c>
      <c r="M16" s="0" t="n">
        <v>0.96</v>
      </c>
      <c r="N16" s="0" t="n">
        <v>0.93</v>
      </c>
      <c r="O16" s="0" t="n">
        <v>4.83</v>
      </c>
      <c r="P16" s="0" t="n">
        <v>4.83</v>
      </c>
      <c r="Q16" s="0" t="n">
        <v>4.67</v>
      </c>
      <c r="R16" s="0" t="s">
        <v>123</v>
      </c>
      <c r="S16" s="0" t="s">
        <v>124</v>
      </c>
      <c r="T16" s="0" t="s">
        <v>125</v>
      </c>
      <c r="U16" s="0" t="s">
        <v>36</v>
      </c>
      <c r="V16" s="0" t="n">
        <f aca="false">(I16/100 + O16/5) / 2</f>
        <v>0.983</v>
      </c>
      <c r="W16" s="0" t="n">
        <f aca="false">(J16/100 + P16/5) / 2</f>
        <v>0.983</v>
      </c>
      <c r="X16" s="0" t="n">
        <f aca="false">(K16/100 + Q16/5) / 2</f>
        <v>0.8811</v>
      </c>
    </row>
    <row r="17" customFormat="false" ht="12.8" hidden="false" customHeight="false" outlineLevel="0" collapsed="false">
      <c r="A17" s="0" t="s">
        <v>126</v>
      </c>
      <c r="B17" s="0" t="s">
        <v>127</v>
      </c>
      <c r="C17" s="0" t="s">
        <v>127</v>
      </c>
      <c r="D17" s="0" t="s">
        <v>128</v>
      </c>
      <c r="E17" s="0" t="s">
        <v>129</v>
      </c>
      <c r="F17" s="0" t="n">
        <v>1</v>
      </c>
      <c r="G17" s="0" t="n">
        <v>1</v>
      </c>
      <c r="H17" s="0" t="n">
        <v>1</v>
      </c>
      <c r="I17" s="0" t="n">
        <v>100</v>
      </c>
      <c r="J17" s="0" t="n">
        <v>100</v>
      </c>
      <c r="K17" s="0" t="n">
        <v>85.79</v>
      </c>
      <c r="L17" s="0" t="n">
        <v>0.97</v>
      </c>
      <c r="M17" s="0" t="n">
        <v>0.97</v>
      </c>
      <c r="N17" s="0" t="n">
        <v>0.96</v>
      </c>
      <c r="O17" s="0" t="n">
        <v>5.1</v>
      </c>
      <c r="P17" s="0" t="n">
        <v>5.1</v>
      </c>
      <c r="Q17" s="0" t="n">
        <v>5</v>
      </c>
      <c r="R17" s="0" t="s">
        <v>130</v>
      </c>
      <c r="S17" s="0" t="s">
        <v>26</v>
      </c>
      <c r="T17" s="0" t="s">
        <v>26</v>
      </c>
      <c r="U17" s="0" t="s">
        <v>50</v>
      </c>
      <c r="V17" s="0" t="n">
        <f aca="false">(I17/100 + O17/5) / 2</f>
        <v>1.01</v>
      </c>
      <c r="W17" s="0" t="n">
        <f aca="false">(J17/100 + P17/5) / 2</f>
        <v>1.01</v>
      </c>
      <c r="X17" s="0" t="n">
        <f aca="false">(K17/100 + Q17/5) / 2</f>
        <v>0.92895</v>
      </c>
    </row>
    <row r="18" customFormat="false" ht="12.8" hidden="false" customHeight="false" outlineLevel="0" collapsed="false">
      <c r="A18" s="0" t="s">
        <v>131</v>
      </c>
      <c r="B18" s="0" t="s">
        <v>132</v>
      </c>
      <c r="C18" s="0" t="s">
        <v>133</v>
      </c>
      <c r="D18" s="0" t="s">
        <v>134</v>
      </c>
      <c r="E18" s="0" t="s">
        <v>135</v>
      </c>
      <c r="F18" s="0" t="n">
        <v>1</v>
      </c>
      <c r="G18" s="0" t="n">
        <v>1</v>
      </c>
      <c r="H18" s="0" t="n">
        <v>1</v>
      </c>
      <c r="I18" s="0" t="n">
        <v>76.98</v>
      </c>
      <c r="J18" s="0" t="n">
        <v>84.67</v>
      </c>
      <c r="K18" s="0" t="n">
        <v>84.67</v>
      </c>
      <c r="L18" s="0" t="n">
        <v>0.92</v>
      </c>
      <c r="M18" s="0" t="n">
        <v>0.93</v>
      </c>
      <c r="N18" s="0" t="n">
        <v>0.93</v>
      </c>
      <c r="O18" s="0" t="n">
        <v>4.8</v>
      </c>
      <c r="P18" s="0" t="n">
        <v>4.59</v>
      </c>
      <c r="Q18" s="0" t="n">
        <v>4.8</v>
      </c>
      <c r="R18" s="0" t="s">
        <v>136</v>
      </c>
      <c r="S18" s="0" t="s">
        <v>26</v>
      </c>
      <c r="T18" s="0" t="s">
        <v>27</v>
      </c>
      <c r="U18" s="0" t="s">
        <v>28</v>
      </c>
      <c r="V18" s="0" t="n">
        <f aca="false">(I18/100 + O18/5) / 2</f>
        <v>0.8649</v>
      </c>
      <c r="W18" s="0" t="n">
        <f aca="false">(J18/100 + P18/5) / 2</f>
        <v>0.88235</v>
      </c>
      <c r="X18" s="0" t="n">
        <f aca="false">(K18/100 + Q18/5) / 2</f>
        <v>0.90335</v>
      </c>
    </row>
    <row r="19" customFormat="false" ht="12.8" hidden="false" customHeight="false" outlineLevel="0" collapsed="false">
      <c r="A19" s="0" t="s">
        <v>137</v>
      </c>
      <c r="B19" s="0" t="s">
        <v>138</v>
      </c>
      <c r="C19" s="0" t="s">
        <v>139</v>
      </c>
      <c r="D19" s="0" t="s">
        <v>140</v>
      </c>
      <c r="E19" s="0" t="s">
        <v>141</v>
      </c>
      <c r="F19" s="0" t="n">
        <v>1</v>
      </c>
      <c r="G19" s="0" t="n">
        <v>0</v>
      </c>
      <c r="H19" s="0" t="n">
        <v>0</v>
      </c>
      <c r="I19" s="0" t="n">
        <v>58.59</v>
      </c>
      <c r="J19" s="0" t="n">
        <v>58.59</v>
      </c>
      <c r="K19" s="0" t="n">
        <v>38.83</v>
      </c>
      <c r="L19" s="0" t="n">
        <v>0.94</v>
      </c>
      <c r="M19" s="0" t="n">
        <v>0.85</v>
      </c>
      <c r="N19" s="0" t="n">
        <v>0.88</v>
      </c>
      <c r="O19" s="0" t="n">
        <v>4.53</v>
      </c>
      <c r="P19" s="0" t="n">
        <v>4.54</v>
      </c>
      <c r="Q19" s="0" t="n">
        <v>4.42</v>
      </c>
      <c r="R19" s="0" t="s">
        <v>142</v>
      </c>
      <c r="S19" s="0" t="s">
        <v>143</v>
      </c>
      <c r="T19" s="0" t="s">
        <v>144</v>
      </c>
      <c r="U19" s="0" t="s">
        <v>36</v>
      </c>
      <c r="V19" s="0" t="n">
        <f aca="false">(I19/100 + O19/5) / 2</f>
        <v>0.74595</v>
      </c>
      <c r="W19" s="0" t="n">
        <f aca="false">(J19/100 + P19/5) / 2</f>
        <v>0.74695</v>
      </c>
      <c r="X19" s="0" t="n">
        <f aca="false">(K19/100 + Q19/5) / 2</f>
        <v>0.63615</v>
      </c>
    </row>
    <row r="20" customFormat="false" ht="12.8" hidden="false" customHeight="false" outlineLevel="0" collapsed="false">
      <c r="A20" s="0" t="s">
        <v>145</v>
      </c>
      <c r="B20" s="0" t="s">
        <v>146</v>
      </c>
      <c r="C20" s="0" t="s">
        <v>147</v>
      </c>
      <c r="D20" s="0" t="s">
        <v>148</v>
      </c>
      <c r="E20" s="0" t="s">
        <v>148</v>
      </c>
      <c r="F20" s="0" t="n">
        <v>0</v>
      </c>
      <c r="G20" s="0" t="n">
        <v>1</v>
      </c>
      <c r="H20" s="0" t="n">
        <v>1</v>
      </c>
      <c r="I20" s="0" t="n">
        <v>64.75</v>
      </c>
      <c r="J20" s="0" t="n">
        <v>64.75</v>
      </c>
      <c r="K20" s="0" t="n">
        <v>64.75</v>
      </c>
      <c r="L20" s="0" t="n">
        <v>0.94</v>
      </c>
      <c r="M20" s="0" t="n">
        <v>0.95</v>
      </c>
      <c r="N20" s="0" t="n">
        <v>0.95</v>
      </c>
      <c r="O20" s="0" t="n">
        <v>4.6</v>
      </c>
      <c r="P20" s="0" t="n">
        <v>4.6</v>
      </c>
      <c r="Q20" s="0" t="n">
        <v>4.6</v>
      </c>
      <c r="R20" s="0" t="s">
        <v>149</v>
      </c>
      <c r="S20" s="0" t="s">
        <v>150</v>
      </c>
      <c r="T20" s="0" t="s">
        <v>149</v>
      </c>
      <c r="U20" s="0" t="s">
        <v>28</v>
      </c>
      <c r="V20" s="0" t="n">
        <f aca="false">(I20/100 + O20/5) / 2</f>
        <v>0.78375</v>
      </c>
      <c r="W20" s="0" t="n">
        <f aca="false">(J20/100 + P20/5) / 2</f>
        <v>0.78375</v>
      </c>
      <c r="X20" s="0" t="n">
        <f aca="false">(K20/100 + Q20/5) / 2</f>
        <v>0.78375</v>
      </c>
    </row>
    <row r="21" customFormat="false" ht="12.8" hidden="false" customHeight="false" outlineLevel="0" collapsed="false">
      <c r="A21" s="0" t="s">
        <v>151</v>
      </c>
      <c r="B21" s="0" t="s">
        <v>152</v>
      </c>
      <c r="C21" s="0" t="s">
        <v>152</v>
      </c>
      <c r="D21" s="0" t="s">
        <v>153</v>
      </c>
      <c r="E21" s="0" t="s">
        <v>154</v>
      </c>
      <c r="F21" s="0" t="n">
        <v>1</v>
      </c>
      <c r="G21" s="0" t="n">
        <v>0</v>
      </c>
      <c r="H21" s="0" t="n">
        <v>0</v>
      </c>
      <c r="I21" s="0" t="n">
        <v>100</v>
      </c>
      <c r="J21" s="0" t="n">
        <v>54.11</v>
      </c>
      <c r="K21" s="0" t="n">
        <v>54.11</v>
      </c>
      <c r="L21" s="0" t="n">
        <v>0.96</v>
      </c>
      <c r="M21" s="0" t="n">
        <v>0.56</v>
      </c>
      <c r="N21" s="0" t="n">
        <v>0.49</v>
      </c>
      <c r="O21" s="0" t="n">
        <v>4.75</v>
      </c>
      <c r="P21" s="0" t="n">
        <v>4.31</v>
      </c>
      <c r="Q21" s="0" t="n">
        <v>3.84</v>
      </c>
      <c r="R21" s="0" t="s">
        <v>155</v>
      </c>
      <c r="S21" s="0" t="s">
        <v>156</v>
      </c>
      <c r="T21" s="0" t="s">
        <v>157</v>
      </c>
      <c r="U21" s="0" t="s">
        <v>36</v>
      </c>
      <c r="V21" s="0" t="n">
        <f aca="false">(I21/100 + O21/5) / 2</f>
        <v>0.975</v>
      </c>
      <c r="W21" s="0" t="n">
        <f aca="false">(J21/100 + P21/5) / 2</f>
        <v>0.70155</v>
      </c>
      <c r="X21" s="0" t="n">
        <f aca="false">(K21/100 + Q21/5) / 2</f>
        <v>0.65455</v>
      </c>
    </row>
    <row r="22" customFormat="false" ht="12.8" hidden="false" customHeight="false" outlineLevel="0" collapsed="false">
      <c r="A22" s="0" t="s">
        <v>158</v>
      </c>
      <c r="B22" s="0" t="s">
        <v>159</v>
      </c>
      <c r="C22" s="0" t="s">
        <v>160</v>
      </c>
      <c r="D22" s="0" t="s">
        <v>161</v>
      </c>
      <c r="E22" s="0" t="s">
        <v>161</v>
      </c>
      <c r="F22" s="0" t="n">
        <v>1</v>
      </c>
      <c r="G22" s="0" t="n">
        <v>1</v>
      </c>
      <c r="H22" s="0" t="n">
        <v>1</v>
      </c>
      <c r="I22" s="0" t="n">
        <v>50</v>
      </c>
      <c r="J22" s="0" t="n">
        <v>100</v>
      </c>
      <c r="K22" s="0" t="n">
        <v>100</v>
      </c>
      <c r="L22" s="0" t="n">
        <v>0.97</v>
      </c>
      <c r="M22" s="0" t="n">
        <v>0.98</v>
      </c>
      <c r="N22" s="0" t="n">
        <v>0.98</v>
      </c>
      <c r="O22" s="0" t="n">
        <v>4.82</v>
      </c>
      <c r="P22" s="0" t="n">
        <v>4.79</v>
      </c>
      <c r="Q22" s="0" t="n">
        <v>4.79</v>
      </c>
      <c r="R22" s="0" t="s">
        <v>162</v>
      </c>
      <c r="S22" s="0" t="s">
        <v>26</v>
      </c>
      <c r="T22" s="0" t="s">
        <v>26</v>
      </c>
      <c r="U22" s="0" t="s">
        <v>50</v>
      </c>
      <c r="V22" s="0" t="n">
        <f aca="false">(I22/100 + O22/5) / 2</f>
        <v>0.732</v>
      </c>
      <c r="W22" s="0" t="n">
        <f aca="false">(J22/100 + P22/5) / 2</f>
        <v>0.979</v>
      </c>
      <c r="X22" s="0" t="n">
        <f aca="false">(K22/100 + Q22/5) / 2</f>
        <v>0.979</v>
      </c>
    </row>
    <row r="23" customFormat="false" ht="12.8" hidden="false" customHeight="false" outlineLevel="0" collapsed="false">
      <c r="A23" s="0" t="s">
        <v>163</v>
      </c>
      <c r="B23" s="0" t="s">
        <v>164</v>
      </c>
      <c r="C23" s="0" t="s">
        <v>164</v>
      </c>
      <c r="D23" s="0" t="s">
        <v>165</v>
      </c>
      <c r="E23" s="0" t="s">
        <v>166</v>
      </c>
      <c r="F23" s="0" t="n">
        <v>1</v>
      </c>
      <c r="G23" s="0" t="n">
        <v>1</v>
      </c>
      <c r="H23" s="0" t="n">
        <v>1</v>
      </c>
      <c r="I23" s="0" t="n">
        <v>100</v>
      </c>
      <c r="J23" s="0" t="n">
        <v>36.89</v>
      </c>
      <c r="K23" s="0" t="n">
        <v>33.03</v>
      </c>
      <c r="L23" s="0" t="n">
        <v>0.99</v>
      </c>
      <c r="M23" s="0" t="n">
        <v>0.98</v>
      </c>
      <c r="N23" s="0" t="n">
        <v>0.97</v>
      </c>
      <c r="O23" s="0" t="n">
        <v>4.6</v>
      </c>
      <c r="P23" s="0" t="n">
        <v>4.51</v>
      </c>
      <c r="Q23" s="0" t="n">
        <v>4.4</v>
      </c>
      <c r="R23" s="0" t="s">
        <v>167</v>
      </c>
      <c r="S23" s="0" t="s">
        <v>26</v>
      </c>
      <c r="T23" s="0" t="s">
        <v>27</v>
      </c>
      <c r="U23" s="0" t="s">
        <v>28</v>
      </c>
      <c r="V23" s="0" t="n">
        <f aca="false">(I23/100 + O23/5) / 2</f>
        <v>0.96</v>
      </c>
      <c r="W23" s="0" t="n">
        <f aca="false">(J23/100 + P23/5) / 2</f>
        <v>0.63545</v>
      </c>
      <c r="X23" s="0" t="n">
        <f aca="false">(K23/100 + Q23/5) / 2</f>
        <v>0.60515</v>
      </c>
    </row>
    <row r="24" customFormat="false" ht="12.8" hidden="false" customHeight="false" outlineLevel="0" collapsed="false">
      <c r="A24" s="0" t="s">
        <v>168</v>
      </c>
      <c r="B24" s="0" t="s">
        <v>169</v>
      </c>
      <c r="C24" s="0" t="s">
        <v>169</v>
      </c>
      <c r="D24" s="0" t="s">
        <v>170</v>
      </c>
      <c r="E24" s="0" t="s">
        <v>171</v>
      </c>
      <c r="F24" s="0" t="n">
        <v>1</v>
      </c>
      <c r="G24" s="0" t="n">
        <v>0</v>
      </c>
      <c r="H24" s="0" t="n">
        <v>1</v>
      </c>
      <c r="I24" s="0" t="n">
        <v>100</v>
      </c>
      <c r="J24" s="0" t="n">
        <v>72.6</v>
      </c>
      <c r="K24" s="0" t="n">
        <v>100</v>
      </c>
      <c r="L24" s="0" t="n">
        <v>0.98</v>
      </c>
      <c r="M24" s="0" t="n">
        <v>0.95</v>
      </c>
      <c r="N24" s="0" t="n">
        <v>0.98</v>
      </c>
      <c r="O24" s="0" t="n">
        <v>4.92</v>
      </c>
      <c r="P24" s="0" t="n">
        <v>4.33</v>
      </c>
      <c r="Q24" s="0" t="n">
        <v>4.92</v>
      </c>
      <c r="R24" s="0" t="s">
        <v>172</v>
      </c>
      <c r="S24" s="0" t="s">
        <v>173</v>
      </c>
      <c r="T24" s="0" t="s">
        <v>174</v>
      </c>
      <c r="U24" s="0" t="s">
        <v>36</v>
      </c>
      <c r="V24" s="0" t="n">
        <f aca="false">(I24/100 + O24/5) / 2</f>
        <v>0.992</v>
      </c>
      <c r="W24" s="0" t="n">
        <f aca="false">(J24/100 + P24/5) / 2</f>
        <v>0.796</v>
      </c>
      <c r="X24" s="0" t="n">
        <f aca="false">(K24/100 + Q24/5) / 2</f>
        <v>0.992</v>
      </c>
    </row>
    <row r="25" customFormat="false" ht="12.8" hidden="false" customHeight="false" outlineLevel="0" collapsed="false">
      <c r="A25" s="0" t="s">
        <v>175</v>
      </c>
      <c r="B25" s="0" t="s">
        <v>176</v>
      </c>
      <c r="C25" s="0" t="s">
        <v>176</v>
      </c>
      <c r="D25" s="0" t="s">
        <v>177</v>
      </c>
      <c r="E25" s="0" t="s">
        <v>178</v>
      </c>
      <c r="F25" s="0" t="n">
        <v>1</v>
      </c>
      <c r="G25" s="0" t="n">
        <v>0</v>
      </c>
      <c r="H25" s="0" t="n">
        <v>1</v>
      </c>
      <c r="I25" s="0" t="n">
        <v>100</v>
      </c>
      <c r="J25" s="0" t="n">
        <v>30.74</v>
      </c>
      <c r="K25" s="0" t="n">
        <v>22.09</v>
      </c>
      <c r="L25" s="0" t="n">
        <v>0.98</v>
      </c>
      <c r="M25" s="0" t="n">
        <v>0.95</v>
      </c>
      <c r="N25" s="0" t="n">
        <v>0.92</v>
      </c>
      <c r="O25" s="0" t="n">
        <v>4.86</v>
      </c>
      <c r="P25" s="0" t="n">
        <v>4.81</v>
      </c>
      <c r="Q25" s="0" t="n">
        <v>4.22</v>
      </c>
      <c r="R25" s="0" t="s">
        <v>179</v>
      </c>
      <c r="S25" s="0" t="s">
        <v>180</v>
      </c>
      <c r="T25" s="0" t="s">
        <v>181</v>
      </c>
      <c r="U25" s="0" t="s">
        <v>28</v>
      </c>
      <c r="V25" s="0" t="n">
        <f aca="false">(I25/100 + O25/5) / 2</f>
        <v>0.986</v>
      </c>
      <c r="W25" s="0" t="n">
        <f aca="false">(J25/100 + P25/5) / 2</f>
        <v>0.6347</v>
      </c>
      <c r="X25" s="0" t="n">
        <f aca="false">(K25/100 + Q25/5) / 2</f>
        <v>0.53245</v>
      </c>
    </row>
    <row r="26" customFormat="false" ht="12.8" hidden="false" customHeight="false" outlineLevel="0" collapsed="false">
      <c r="A26" s="0" t="s">
        <v>182</v>
      </c>
      <c r="B26" s="0" t="s">
        <v>183</v>
      </c>
      <c r="C26" s="0" t="s">
        <v>183</v>
      </c>
      <c r="D26" s="0" t="s">
        <v>184</v>
      </c>
      <c r="E26" s="0" t="s">
        <v>185</v>
      </c>
      <c r="F26" s="0" t="n">
        <v>1</v>
      </c>
      <c r="G26" s="0" t="n">
        <v>1</v>
      </c>
      <c r="H26" s="0" t="n">
        <v>1</v>
      </c>
      <c r="I26" s="0" t="n">
        <v>100</v>
      </c>
      <c r="J26" s="0" t="n">
        <v>36.09</v>
      </c>
      <c r="K26" s="0" t="n">
        <v>42.73</v>
      </c>
      <c r="L26" s="0" t="n">
        <v>0.97</v>
      </c>
      <c r="M26" s="0" t="n">
        <v>0.93</v>
      </c>
      <c r="N26" s="0" t="n">
        <v>0.89</v>
      </c>
      <c r="O26" s="0" t="n">
        <v>4.65</v>
      </c>
      <c r="P26" s="0" t="n">
        <v>4.38</v>
      </c>
      <c r="Q26" s="0" t="n">
        <v>4.48</v>
      </c>
      <c r="R26" s="0" t="s">
        <v>186</v>
      </c>
      <c r="S26" s="0" t="s">
        <v>187</v>
      </c>
      <c r="T26" s="0" t="s">
        <v>188</v>
      </c>
      <c r="U26" s="0" t="s">
        <v>93</v>
      </c>
      <c r="V26" s="0" t="n">
        <f aca="false">(I26/100 + O26/5) / 2</f>
        <v>0.965</v>
      </c>
      <c r="W26" s="0" t="n">
        <f aca="false">(J26/100 + P26/5) / 2</f>
        <v>0.61845</v>
      </c>
      <c r="X26" s="0" t="n">
        <f aca="false">(K26/100 + Q26/5) / 2</f>
        <v>0.66165</v>
      </c>
    </row>
    <row r="27" customFormat="false" ht="12.8" hidden="false" customHeight="false" outlineLevel="0" collapsed="false">
      <c r="A27" s="0" t="s">
        <v>189</v>
      </c>
      <c r="B27" s="0" t="s">
        <v>190</v>
      </c>
      <c r="C27" s="0" t="s">
        <v>191</v>
      </c>
      <c r="D27" s="0" t="s">
        <v>192</v>
      </c>
      <c r="E27" s="0" t="s">
        <v>192</v>
      </c>
      <c r="F27" s="0" t="n">
        <v>1</v>
      </c>
      <c r="G27" s="0" t="n">
        <v>1</v>
      </c>
      <c r="H27" s="0" t="n">
        <v>1</v>
      </c>
      <c r="I27" s="0" t="n">
        <v>30.21</v>
      </c>
      <c r="J27" s="0" t="n">
        <v>100</v>
      </c>
      <c r="K27" s="0" t="n">
        <v>100</v>
      </c>
      <c r="L27" s="0" t="n">
        <v>0.94</v>
      </c>
      <c r="M27" s="0" t="n">
        <v>0.98</v>
      </c>
      <c r="N27" s="0" t="n">
        <v>0.98</v>
      </c>
      <c r="O27" s="0" t="n">
        <v>4.52</v>
      </c>
      <c r="P27" s="0" t="n">
        <v>4.4</v>
      </c>
      <c r="Q27" s="0" t="n">
        <v>4.4</v>
      </c>
      <c r="R27" s="0" t="s">
        <v>193</v>
      </c>
      <c r="S27" s="0" t="s">
        <v>27</v>
      </c>
      <c r="T27" s="0" t="s">
        <v>92</v>
      </c>
      <c r="U27" s="0" t="s">
        <v>93</v>
      </c>
      <c r="V27" s="0" t="n">
        <f aca="false">(I27/100 + O27/5) / 2</f>
        <v>0.60305</v>
      </c>
      <c r="W27" s="0" t="n">
        <f aca="false">(J27/100 + P27/5) / 2</f>
        <v>0.94</v>
      </c>
      <c r="X27" s="0" t="n">
        <f aca="false">(K27/100 + Q27/5) / 2</f>
        <v>0.94</v>
      </c>
    </row>
    <row r="28" customFormat="false" ht="12.8" hidden="false" customHeight="false" outlineLevel="0" collapsed="false">
      <c r="A28" s="0" t="s">
        <v>194</v>
      </c>
      <c r="B28" s="0" t="s">
        <v>195</v>
      </c>
      <c r="C28" s="0" t="s">
        <v>195</v>
      </c>
      <c r="D28" s="0" t="s">
        <v>196</v>
      </c>
      <c r="E28" s="0" t="s">
        <v>197</v>
      </c>
      <c r="F28" s="0" t="n">
        <v>1</v>
      </c>
      <c r="G28" s="0" t="n">
        <v>1</v>
      </c>
      <c r="H28" s="0" t="n">
        <v>1</v>
      </c>
      <c r="I28" s="0" t="n">
        <v>100</v>
      </c>
      <c r="J28" s="0" t="n">
        <v>61.3</v>
      </c>
      <c r="K28" s="0" t="n">
        <v>100</v>
      </c>
      <c r="L28" s="0" t="n">
        <v>0.99</v>
      </c>
      <c r="M28" s="0" t="n">
        <v>0.97</v>
      </c>
      <c r="N28" s="0" t="n">
        <v>0.99</v>
      </c>
      <c r="O28" s="0" t="n">
        <v>4.64</v>
      </c>
      <c r="P28" s="0" t="n">
        <v>4.46</v>
      </c>
      <c r="Q28" s="0" t="n">
        <v>4.64</v>
      </c>
      <c r="R28" s="0" t="s">
        <v>198</v>
      </c>
      <c r="S28" s="0" t="s">
        <v>26</v>
      </c>
      <c r="T28" s="0" t="s">
        <v>27</v>
      </c>
      <c r="U28" s="0" t="s">
        <v>28</v>
      </c>
      <c r="V28" s="0" t="n">
        <f aca="false">(I28/100 + O28/5) / 2</f>
        <v>0.964</v>
      </c>
      <c r="W28" s="0" t="n">
        <f aca="false">(J28/100 + P28/5) / 2</f>
        <v>0.7525</v>
      </c>
      <c r="X28" s="0" t="n">
        <f aca="false">(K28/100 + Q28/5) / 2</f>
        <v>0.964</v>
      </c>
    </row>
    <row r="29" customFormat="false" ht="12.8" hidden="false" customHeight="false" outlineLevel="0" collapsed="false">
      <c r="A29" s="0" t="s">
        <v>199</v>
      </c>
      <c r="B29" s="0" t="s">
        <v>200</v>
      </c>
      <c r="C29" s="0" t="s">
        <v>201</v>
      </c>
      <c r="D29" s="0" t="s">
        <v>202</v>
      </c>
      <c r="E29" s="0" t="s">
        <v>203</v>
      </c>
      <c r="F29" s="0" t="n">
        <v>1</v>
      </c>
      <c r="G29" s="0" t="n">
        <v>1</v>
      </c>
      <c r="H29" s="0" t="n">
        <v>1</v>
      </c>
      <c r="I29" s="0" t="n">
        <v>64.07</v>
      </c>
      <c r="J29" s="0" t="n">
        <v>64.07</v>
      </c>
      <c r="K29" s="0" t="n">
        <v>73.49</v>
      </c>
      <c r="L29" s="0" t="n">
        <v>0.96</v>
      </c>
      <c r="M29" s="0" t="n">
        <v>0.96</v>
      </c>
      <c r="N29" s="0" t="n">
        <v>0.96</v>
      </c>
      <c r="O29" s="0" t="n">
        <v>5.02</v>
      </c>
      <c r="P29" s="0" t="n">
        <v>5.02</v>
      </c>
      <c r="Q29" s="0" t="n">
        <v>5.01</v>
      </c>
      <c r="R29" s="0" t="s">
        <v>91</v>
      </c>
      <c r="S29" s="0" t="s">
        <v>26</v>
      </c>
      <c r="T29" s="0" t="s">
        <v>26</v>
      </c>
      <c r="U29" s="0" t="s">
        <v>50</v>
      </c>
      <c r="V29" s="0" t="n">
        <f aca="false">(I29/100 + O29/5) / 2</f>
        <v>0.82235</v>
      </c>
      <c r="W29" s="0" t="n">
        <f aca="false">(J29/100 + P29/5) / 2</f>
        <v>0.82235</v>
      </c>
      <c r="X29" s="0" t="n">
        <f aca="false">(K29/100 + Q29/5) / 2</f>
        <v>0.86845</v>
      </c>
    </row>
    <row r="30" customFormat="false" ht="12.8" hidden="false" customHeight="false" outlineLevel="0" collapsed="false">
      <c r="A30" s="0" t="s">
        <v>204</v>
      </c>
      <c r="B30" s="0" t="s">
        <v>205</v>
      </c>
      <c r="C30" s="0" t="s">
        <v>206</v>
      </c>
      <c r="D30" s="0" t="s">
        <v>207</v>
      </c>
      <c r="E30" s="0" t="s">
        <v>208</v>
      </c>
      <c r="F30" s="0" t="n">
        <v>1</v>
      </c>
      <c r="G30" s="0" t="n">
        <v>1</v>
      </c>
      <c r="H30" s="0" t="n">
        <v>1</v>
      </c>
      <c r="I30" s="0" t="n">
        <v>27.78</v>
      </c>
      <c r="J30" s="0" t="n">
        <v>27.78</v>
      </c>
      <c r="K30" s="0" t="n">
        <v>27.78</v>
      </c>
      <c r="L30" s="0" t="n">
        <v>0.98</v>
      </c>
      <c r="M30" s="0" t="n">
        <v>0.98</v>
      </c>
      <c r="N30" s="0" t="n">
        <v>0.98</v>
      </c>
      <c r="O30" s="0" t="n">
        <v>4.76</v>
      </c>
      <c r="P30" s="0" t="n">
        <v>4.77</v>
      </c>
      <c r="Q30" s="0" t="n">
        <v>4.53</v>
      </c>
      <c r="R30" s="0" t="s">
        <v>26</v>
      </c>
      <c r="S30" s="0" t="s">
        <v>26</v>
      </c>
      <c r="T30" s="0" t="s">
        <v>188</v>
      </c>
      <c r="U30" s="0" t="s">
        <v>209</v>
      </c>
      <c r="V30" s="0" t="n">
        <f aca="false">(I30/100 + O30/5) / 2</f>
        <v>0.6149</v>
      </c>
      <c r="W30" s="0" t="n">
        <f aca="false">(J30/100 + P30/5) / 2</f>
        <v>0.6159</v>
      </c>
      <c r="X30" s="0" t="n">
        <f aca="false">(K30/100 + Q30/5) / 2</f>
        <v>0.5919</v>
      </c>
    </row>
    <row r="31" customFormat="false" ht="12.8" hidden="false" customHeight="false" outlineLevel="0" collapsed="false">
      <c r="A31" s="0" t="s">
        <v>210</v>
      </c>
      <c r="B31" s="0" t="s">
        <v>211</v>
      </c>
      <c r="C31" s="0" t="s">
        <v>212</v>
      </c>
      <c r="D31" s="0" t="s">
        <v>213</v>
      </c>
      <c r="E31" s="0" t="s">
        <v>214</v>
      </c>
      <c r="F31" s="0" t="n">
        <v>1</v>
      </c>
      <c r="G31" s="0" t="n">
        <v>0</v>
      </c>
      <c r="H31" s="0" t="n">
        <v>1</v>
      </c>
      <c r="I31" s="0" t="n">
        <v>65.8</v>
      </c>
      <c r="J31" s="0" t="n">
        <v>41.11</v>
      </c>
      <c r="K31" s="0" t="n">
        <v>10.15</v>
      </c>
      <c r="L31" s="0" t="n">
        <v>0.92</v>
      </c>
      <c r="M31" s="0" t="n">
        <v>0.79</v>
      </c>
      <c r="N31" s="0" t="n">
        <v>0.77</v>
      </c>
      <c r="O31" s="0" t="n">
        <v>4.48</v>
      </c>
      <c r="P31" s="0" t="n">
        <v>3.9</v>
      </c>
      <c r="Q31" s="0" t="n">
        <v>4.12</v>
      </c>
      <c r="R31" s="0" t="s">
        <v>215</v>
      </c>
      <c r="S31" s="0" t="s">
        <v>216</v>
      </c>
      <c r="T31" s="0" t="s">
        <v>217</v>
      </c>
      <c r="U31" s="0" t="s">
        <v>93</v>
      </c>
      <c r="V31" s="0" t="n">
        <f aca="false">(I31/100 + O31/5) / 2</f>
        <v>0.777</v>
      </c>
      <c r="W31" s="0" t="n">
        <f aca="false">(J31/100 + P31/5) / 2</f>
        <v>0.59555</v>
      </c>
      <c r="X31" s="0" t="n">
        <f aca="false">(K31/100 + Q31/5) / 2</f>
        <v>0.46275</v>
      </c>
    </row>
    <row r="32" customFormat="false" ht="12.8" hidden="false" customHeight="false" outlineLevel="0" collapsed="false">
      <c r="A32" s="0" t="s">
        <v>218</v>
      </c>
      <c r="B32" s="0" t="s">
        <v>219</v>
      </c>
      <c r="C32" s="0" t="s">
        <v>220</v>
      </c>
      <c r="D32" s="0" t="s">
        <v>221</v>
      </c>
      <c r="E32" s="0" t="s">
        <v>221</v>
      </c>
      <c r="F32" s="0" t="n">
        <v>1</v>
      </c>
      <c r="G32" s="0" t="n">
        <v>1</v>
      </c>
      <c r="H32" s="0" t="n">
        <v>1</v>
      </c>
      <c r="I32" s="0" t="n">
        <v>39.28</v>
      </c>
      <c r="J32" s="0" t="n">
        <v>65.8</v>
      </c>
      <c r="K32" s="0" t="n">
        <v>65.8</v>
      </c>
      <c r="L32" s="0" t="n">
        <v>0.95</v>
      </c>
      <c r="M32" s="0" t="n">
        <v>0.96</v>
      </c>
      <c r="N32" s="0" t="n">
        <v>0.96</v>
      </c>
      <c r="O32" s="0" t="n">
        <v>4.7</v>
      </c>
      <c r="P32" s="0" t="n">
        <v>4.72</v>
      </c>
      <c r="Q32" s="0" t="n">
        <v>4.72</v>
      </c>
      <c r="R32" s="0" t="s">
        <v>222</v>
      </c>
      <c r="S32" s="0" t="s">
        <v>26</v>
      </c>
      <c r="T32" s="0" t="s">
        <v>26</v>
      </c>
      <c r="U32" s="0" t="s">
        <v>50</v>
      </c>
      <c r="V32" s="0" t="n">
        <f aca="false">(I32/100 + O32/5) / 2</f>
        <v>0.6664</v>
      </c>
      <c r="W32" s="0" t="n">
        <f aca="false">(J32/100 + P32/5) / 2</f>
        <v>0.801</v>
      </c>
      <c r="X32" s="0" t="n">
        <f aca="false">(K32/100 + Q32/5) / 2</f>
        <v>0.801</v>
      </c>
    </row>
    <row r="33" customFormat="false" ht="12.8" hidden="false" customHeight="false" outlineLevel="0" collapsed="false">
      <c r="A33" s="0" t="s">
        <v>223</v>
      </c>
      <c r="B33" s="0" t="s">
        <v>224</v>
      </c>
      <c r="C33" s="0" t="s">
        <v>225</v>
      </c>
      <c r="D33" s="0" t="s">
        <v>226</v>
      </c>
      <c r="E33" s="0" t="s">
        <v>227</v>
      </c>
      <c r="F33" s="0" t="n">
        <v>1</v>
      </c>
      <c r="G33" s="0" t="n">
        <v>1</v>
      </c>
      <c r="H33" s="0" t="n">
        <v>1</v>
      </c>
      <c r="I33" s="0" t="n">
        <v>78.25</v>
      </c>
      <c r="J33" s="0" t="n">
        <v>100</v>
      </c>
      <c r="K33" s="0" t="n">
        <v>78.25</v>
      </c>
      <c r="L33" s="0" t="n">
        <v>0.93</v>
      </c>
      <c r="M33" s="0" t="n">
        <v>0.98</v>
      </c>
      <c r="N33" s="0" t="n">
        <v>0.93</v>
      </c>
      <c r="O33" s="0" t="n">
        <v>4.4</v>
      </c>
      <c r="P33" s="0" t="n">
        <v>4.47</v>
      </c>
      <c r="Q33" s="0" t="n">
        <v>4.4</v>
      </c>
      <c r="R33" s="0" t="s">
        <v>228</v>
      </c>
      <c r="S33" s="0" t="s">
        <v>188</v>
      </c>
      <c r="T33" s="0" t="s">
        <v>26</v>
      </c>
      <c r="U33" s="0" t="s">
        <v>93</v>
      </c>
      <c r="V33" s="0" t="n">
        <f aca="false">(I33/100 + O33/5) / 2</f>
        <v>0.83125</v>
      </c>
      <c r="W33" s="0" t="n">
        <f aca="false">(J33/100 + P33/5) / 2</f>
        <v>0.947</v>
      </c>
      <c r="X33" s="0" t="n">
        <f aca="false">(K33/100 + Q33/5) / 2</f>
        <v>0.83125</v>
      </c>
    </row>
    <row r="34" customFormat="false" ht="12.8" hidden="false" customHeight="false" outlineLevel="0" collapsed="false">
      <c r="A34" s="0" t="s">
        <v>229</v>
      </c>
      <c r="B34" s="0" t="s">
        <v>230</v>
      </c>
      <c r="C34" s="0" t="s">
        <v>231</v>
      </c>
      <c r="D34" s="0" t="s">
        <v>232</v>
      </c>
      <c r="E34" s="0" t="s">
        <v>233</v>
      </c>
      <c r="F34" s="0" t="n">
        <v>1</v>
      </c>
      <c r="G34" s="0" t="n">
        <v>1</v>
      </c>
      <c r="H34" s="0" t="n">
        <v>1</v>
      </c>
      <c r="I34" s="0" t="n">
        <v>77.39</v>
      </c>
      <c r="J34" s="0" t="n">
        <v>77.39</v>
      </c>
      <c r="K34" s="0" t="n">
        <v>56.42</v>
      </c>
      <c r="L34" s="0" t="n">
        <v>0.93</v>
      </c>
      <c r="M34" s="0" t="n">
        <v>0.93</v>
      </c>
      <c r="N34" s="0" t="n">
        <v>0.96</v>
      </c>
      <c r="O34" s="0" t="n">
        <v>4.82</v>
      </c>
      <c r="P34" s="0" t="n">
        <v>4.82</v>
      </c>
      <c r="Q34" s="0" t="n">
        <v>4.84</v>
      </c>
      <c r="R34" s="0" t="s">
        <v>234</v>
      </c>
      <c r="S34" s="0" t="s">
        <v>92</v>
      </c>
      <c r="T34" s="0" t="s">
        <v>26</v>
      </c>
      <c r="U34" s="0" t="s">
        <v>93</v>
      </c>
      <c r="V34" s="0" t="n">
        <f aca="false">(I34/100 + O34/5) / 2</f>
        <v>0.86895</v>
      </c>
      <c r="W34" s="0" t="n">
        <f aca="false">(J34/100 + P34/5) / 2</f>
        <v>0.86895</v>
      </c>
      <c r="X34" s="0" t="n">
        <f aca="false">(K34/100 + Q34/5) / 2</f>
        <v>0.7661</v>
      </c>
    </row>
    <row r="35" customFormat="false" ht="12.8" hidden="false" customHeight="false" outlineLevel="0" collapsed="false">
      <c r="A35" s="0" t="s">
        <v>235</v>
      </c>
      <c r="B35" s="0" t="s">
        <v>236</v>
      </c>
      <c r="C35" s="0" t="s">
        <v>237</v>
      </c>
      <c r="D35" s="0" t="s">
        <v>238</v>
      </c>
      <c r="E35" s="0" t="s">
        <v>238</v>
      </c>
      <c r="F35" s="0" t="n">
        <v>1</v>
      </c>
      <c r="G35" s="0" t="n">
        <v>1</v>
      </c>
      <c r="H35" s="0" t="n">
        <v>1</v>
      </c>
      <c r="I35" s="0" t="n">
        <v>31.14</v>
      </c>
      <c r="J35" s="0" t="n">
        <v>31.14</v>
      </c>
      <c r="K35" s="0" t="n">
        <v>31.14</v>
      </c>
      <c r="L35" s="0" t="n">
        <v>0.88</v>
      </c>
      <c r="M35" s="0" t="n">
        <v>0.88</v>
      </c>
      <c r="N35" s="0" t="n">
        <v>0.88</v>
      </c>
      <c r="O35" s="0" t="n">
        <v>4.27</v>
      </c>
      <c r="P35" s="0" t="n">
        <v>4.27</v>
      </c>
      <c r="Q35" s="0" t="n">
        <v>4.27</v>
      </c>
      <c r="R35" s="0" t="s">
        <v>26</v>
      </c>
      <c r="S35" s="0" t="s">
        <v>26</v>
      </c>
      <c r="T35" s="0" t="s">
        <v>26</v>
      </c>
      <c r="U35" s="0" t="s">
        <v>54</v>
      </c>
      <c r="V35" s="0" t="n">
        <f aca="false">(I35/100 + O35/5) / 2</f>
        <v>0.5827</v>
      </c>
      <c r="W35" s="0" t="n">
        <f aca="false">(J35/100 + P35/5) / 2</f>
        <v>0.5827</v>
      </c>
      <c r="X35" s="0" t="n">
        <f aca="false">(K35/100 + Q35/5) / 2</f>
        <v>0.5827</v>
      </c>
    </row>
    <row r="36" customFormat="false" ht="12.8" hidden="false" customHeight="false" outlineLevel="0" collapsed="false">
      <c r="A36" s="0" t="s">
        <v>239</v>
      </c>
      <c r="B36" s="0" t="s">
        <v>240</v>
      </c>
      <c r="C36" s="0" t="s">
        <v>241</v>
      </c>
      <c r="D36" s="0" t="s">
        <v>242</v>
      </c>
      <c r="E36" s="0" t="s">
        <v>243</v>
      </c>
      <c r="F36" s="0" t="n">
        <v>1</v>
      </c>
      <c r="G36" s="0" t="n">
        <v>1</v>
      </c>
      <c r="H36" s="0" t="n">
        <v>0</v>
      </c>
      <c r="I36" s="0" t="n">
        <v>61.48</v>
      </c>
      <c r="J36" s="0" t="n">
        <v>41.11</v>
      </c>
      <c r="K36" s="0" t="n">
        <v>13.74</v>
      </c>
      <c r="L36" s="0" t="n">
        <v>0.66</v>
      </c>
      <c r="M36" s="0" t="n">
        <v>0.83</v>
      </c>
      <c r="N36" s="0" t="n">
        <v>0.71</v>
      </c>
      <c r="O36" s="0" t="n">
        <v>3.76</v>
      </c>
      <c r="P36" s="0" t="n">
        <v>4.22</v>
      </c>
      <c r="Q36" s="0" t="n">
        <v>3.95</v>
      </c>
      <c r="R36" s="0" t="s">
        <v>244</v>
      </c>
      <c r="S36" s="0" t="s">
        <v>245</v>
      </c>
      <c r="T36" s="0" t="s">
        <v>246</v>
      </c>
      <c r="U36" s="0" t="s">
        <v>36</v>
      </c>
      <c r="V36" s="0" t="n">
        <f aca="false">(I36/100 + O36/5) / 2</f>
        <v>0.6834</v>
      </c>
      <c r="W36" s="0" t="n">
        <f aca="false">(J36/100 + P36/5) / 2</f>
        <v>0.62755</v>
      </c>
      <c r="X36" s="0" t="n">
        <f aca="false">(K36/100 + Q36/5) / 2</f>
        <v>0.4637</v>
      </c>
    </row>
    <row r="37" customFormat="false" ht="12.8" hidden="false" customHeight="false" outlineLevel="0" collapsed="false">
      <c r="A37" s="0" t="s">
        <v>247</v>
      </c>
      <c r="B37" s="0" t="s">
        <v>248</v>
      </c>
      <c r="C37" s="0" t="s">
        <v>249</v>
      </c>
      <c r="D37" s="0" t="s">
        <v>250</v>
      </c>
      <c r="E37" s="0" t="s">
        <v>251</v>
      </c>
      <c r="F37" s="0" t="n">
        <v>0</v>
      </c>
      <c r="G37" s="0" t="n">
        <v>1</v>
      </c>
      <c r="H37" s="0" t="n">
        <v>0</v>
      </c>
      <c r="I37" s="0" t="n">
        <v>27.48</v>
      </c>
      <c r="J37" s="0" t="n">
        <v>43.47</v>
      </c>
      <c r="K37" s="0" t="n">
        <v>43.01</v>
      </c>
      <c r="L37" s="0" t="n">
        <v>0.86</v>
      </c>
      <c r="M37" s="0" t="n">
        <v>0.92</v>
      </c>
      <c r="N37" s="0" t="n">
        <v>0.79</v>
      </c>
      <c r="O37" s="0" t="n">
        <v>3.79</v>
      </c>
      <c r="P37" s="0" t="n">
        <v>4.2</v>
      </c>
      <c r="Q37" s="0" t="n">
        <v>4.07</v>
      </c>
      <c r="R37" s="0" t="s">
        <v>252</v>
      </c>
      <c r="S37" s="0" t="s">
        <v>253</v>
      </c>
      <c r="T37" s="0" t="s">
        <v>254</v>
      </c>
      <c r="U37" s="0" t="s">
        <v>36</v>
      </c>
      <c r="V37" s="0" t="n">
        <f aca="false">(I37/100 + O37/5) / 2</f>
        <v>0.5164</v>
      </c>
      <c r="W37" s="0" t="n">
        <f aca="false">(J37/100 + P37/5) / 2</f>
        <v>0.63735</v>
      </c>
      <c r="X37" s="0" t="n">
        <f aca="false">(K37/100 + Q37/5) / 2</f>
        <v>0.62205</v>
      </c>
    </row>
    <row r="38" customFormat="false" ht="12.8" hidden="false" customHeight="false" outlineLevel="0" collapsed="false">
      <c r="A38" s="0" t="s">
        <v>255</v>
      </c>
      <c r="B38" s="0" t="s">
        <v>256</v>
      </c>
      <c r="C38" s="0" t="s">
        <v>257</v>
      </c>
      <c r="D38" s="0" t="s">
        <v>258</v>
      </c>
      <c r="E38" s="0" t="s">
        <v>259</v>
      </c>
      <c r="F38" s="0" t="n">
        <v>1</v>
      </c>
      <c r="G38" s="0" t="n">
        <v>1</v>
      </c>
      <c r="H38" s="0" t="n">
        <v>1</v>
      </c>
      <c r="I38" s="0" t="n">
        <v>48.88</v>
      </c>
      <c r="J38" s="0" t="n">
        <v>59.54</v>
      </c>
      <c r="K38" s="0" t="n">
        <v>15.18</v>
      </c>
      <c r="L38" s="0" t="n">
        <v>0.53</v>
      </c>
      <c r="M38" s="0" t="n">
        <v>0.85</v>
      </c>
      <c r="N38" s="0" t="n">
        <v>0.64</v>
      </c>
      <c r="O38" s="0" t="n">
        <v>4.2</v>
      </c>
      <c r="P38" s="0" t="n">
        <v>3.96</v>
      </c>
      <c r="Q38" s="0" t="n">
        <v>3.01</v>
      </c>
      <c r="R38" s="0" t="s">
        <v>260</v>
      </c>
      <c r="S38" s="0" t="s">
        <v>261</v>
      </c>
      <c r="T38" s="0" t="s">
        <v>262</v>
      </c>
      <c r="U38" s="0" t="s">
        <v>93</v>
      </c>
      <c r="V38" s="0" t="n">
        <f aca="false">(I38/100 + O38/5) / 2</f>
        <v>0.6644</v>
      </c>
      <c r="W38" s="0" t="n">
        <f aca="false">(J38/100 + P38/5) / 2</f>
        <v>0.6937</v>
      </c>
      <c r="X38" s="0" t="n">
        <f aca="false">(K38/100 + Q38/5) / 2</f>
        <v>0.3769</v>
      </c>
    </row>
    <row r="39" customFormat="false" ht="12.8" hidden="false" customHeight="false" outlineLevel="0" collapsed="false">
      <c r="A39" s="0" t="s">
        <v>263</v>
      </c>
      <c r="B39" s="0" t="s">
        <v>264</v>
      </c>
      <c r="C39" s="0" t="s">
        <v>265</v>
      </c>
      <c r="D39" s="0" t="s">
        <v>266</v>
      </c>
      <c r="E39" s="0" t="s">
        <v>267</v>
      </c>
      <c r="F39" s="0" t="n">
        <v>1</v>
      </c>
      <c r="G39" s="0" t="n">
        <v>0</v>
      </c>
      <c r="H39" s="0" t="n">
        <v>0</v>
      </c>
      <c r="I39" s="0" t="n">
        <v>81.07</v>
      </c>
      <c r="J39" s="0" t="n">
        <v>42.95</v>
      </c>
      <c r="K39" s="0" t="n">
        <v>53.01</v>
      </c>
      <c r="L39" s="0" t="n">
        <v>0.85</v>
      </c>
      <c r="M39" s="0" t="n">
        <v>0.66</v>
      </c>
      <c r="N39" s="0" t="n">
        <v>0.61</v>
      </c>
      <c r="O39" s="0" t="n">
        <v>4.32</v>
      </c>
      <c r="P39" s="0" t="n">
        <v>3.61</v>
      </c>
      <c r="Q39" s="0" t="n">
        <v>4.42</v>
      </c>
      <c r="R39" s="0" t="s">
        <v>268</v>
      </c>
      <c r="S39" s="0" t="s">
        <v>269</v>
      </c>
      <c r="T39" s="0" t="s">
        <v>270</v>
      </c>
      <c r="U39" s="0" t="s">
        <v>36</v>
      </c>
      <c r="V39" s="0" t="n">
        <f aca="false">(I39/100 + O39/5) / 2</f>
        <v>0.83735</v>
      </c>
      <c r="W39" s="0" t="n">
        <f aca="false">(J39/100 + P39/5) / 2</f>
        <v>0.57575</v>
      </c>
      <c r="X39" s="0" t="n">
        <f aca="false">(K39/100 + Q39/5) / 2</f>
        <v>0.70705</v>
      </c>
    </row>
    <row r="40" customFormat="false" ht="12.8" hidden="false" customHeight="false" outlineLevel="0" collapsed="false">
      <c r="A40" s="0" t="s">
        <v>271</v>
      </c>
      <c r="B40" s="0" t="s">
        <v>272</v>
      </c>
      <c r="C40" s="0" t="s">
        <v>273</v>
      </c>
      <c r="D40" s="0" t="s">
        <v>274</v>
      </c>
      <c r="E40" s="0" t="s">
        <v>275</v>
      </c>
      <c r="F40" s="0" t="n">
        <v>1</v>
      </c>
      <c r="G40" s="0" t="n">
        <v>1</v>
      </c>
      <c r="H40" s="0" t="n">
        <v>0</v>
      </c>
      <c r="I40" s="0" t="n">
        <v>57.61</v>
      </c>
      <c r="J40" s="0" t="n">
        <v>57.61</v>
      </c>
      <c r="K40" s="0" t="n">
        <v>28.92</v>
      </c>
      <c r="L40" s="0" t="n">
        <v>0.51</v>
      </c>
      <c r="M40" s="0" t="n">
        <v>0.51</v>
      </c>
      <c r="N40" s="0" t="n">
        <v>0.55</v>
      </c>
      <c r="O40" s="0" t="n">
        <v>3.41</v>
      </c>
      <c r="P40" s="0" t="n">
        <v>3.41</v>
      </c>
      <c r="Q40" s="0" t="n">
        <v>4</v>
      </c>
      <c r="R40" s="0" t="s">
        <v>276</v>
      </c>
      <c r="S40" s="0" t="s">
        <v>277</v>
      </c>
      <c r="T40" s="0" t="s">
        <v>278</v>
      </c>
      <c r="U40" s="0" t="s">
        <v>36</v>
      </c>
      <c r="V40" s="0" t="n">
        <f aca="false">(I40/100 + O40/5) / 2</f>
        <v>0.62905</v>
      </c>
      <c r="W40" s="0" t="n">
        <f aca="false">(J40/100 + P40/5) / 2</f>
        <v>0.62905</v>
      </c>
      <c r="X40" s="0" t="n">
        <f aca="false">(K40/100 + Q40/5) / 2</f>
        <v>0.5446</v>
      </c>
    </row>
    <row r="41" customFormat="false" ht="12.8" hidden="false" customHeight="false" outlineLevel="0" collapsed="false">
      <c r="A41" s="0" t="s">
        <v>279</v>
      </c>
      <c r="B41" s="0" t="s">
        <v>280</v>
      </c>
      <c r="C41" s="0" t="s">
        <v>281</v>
      </c>
      <c r="D41" s="0" t="s">
        <v>282</v>
      </c>
      <c r="E41" s="0" t="s">
        <v>283</v>
      </c>
      <c r="F41" s="0" t="n">
        <v>1</v>
      </c>
      <c r="G41" s="0" t="n">
        <v>1</v>
      </c>
      <c r="H41" s="0" t="n">
        <v>1</v>
      </c>
      <c r="I41" s="0" t="n">
        <v>42.38</v>
      </c>
      <c r="J41" s="0" t="n">
        <v>42.38</v>
      </c>
      <c r="K41" s="0" t="n">
        <v>12.22</v>
      </c>
      <c r="L41" s="0" t="n">
        <v>0.69</v>
      </c>
      <c r="M41" s="0" t="n">
        <v>0.69</v>
      </c>
      <c r="N41" s="0" t="n">
        <v>0.53</v>
      </c>
      <c r="O41" s="0" t="n">
        <v>3.56</v>
      </c>
      <c r="P41" s="0" t="n">
        <v>3.56</v>
      </c>
      <c r="Q41" s="0" t="n">
        <v>3.88</v>
      </c>
      <c r="R41" s="0" t="s">
        <v>284</v>
      </c>
      <c r="S41" s="0" t="s">
        <v>285</v>
      </c>
      <c r="T41" s="0" t="s">
        <v>286</v>
      </c>
      <c r="U41" s="0" t="s">
        <v>93</v>
      </c>
      <c r="V41" s="0" t="n">
        <f aca="false">(I41/100 + O41/5) / 2</f>
        <v>0.5679</v>
      </c>
      <c r="W41" s="0" t="n">
        <f aca="false">(J41/100 + P41/5) / 2</f>
        <v>0.5679</v>
      </c>
      <c r="X41" s="0" t="n">
        <f aca="false">(K41/100 + Q41/5) / 2</f>
        <v>0.4491</v>
      </c>
    </row>
    <row r="42" customFormat="false" ht="12.8" hidden="false" customHeight="false" outlineLevel="0" collapsed="false">
      <c r="A42" s="0" t="s">
        <v>287</v>
      </c>
      <c r="B42" s="0" t="s">
        <v>288</v>
      </c>
      <c r="C42" s="0" t="s">
        <v>289</v>
      </c>
      <c r="D42" s="0" t="s">
        <v>290</v>
      </c>
      <c r="E42" s="0" t="s">
        <v>291</v>
      </c>
      <c r="F42" s="0" t="n">
        <v>0</v>
      </c>
      <c r="G42" s="0" t="n">
        <v>1</v>
      </c>
      <c r="H42" s="0" t="n">
        <v>0</v>
      </c>
      <c r="I42" s="0" t="n">
        <v>59</v>
      </c>
      <c r="J42" s="0" t="n">
        <v>24.84</v>
      </c>
      <c r="K42" s="0" t="n">
        <v>59</v>
      </c>
      <c r="L42" s="0" t="n">
        <v>0.77</v>
      </c>
      <c r="M42" s="0" t="n">
        <v>0.83</v>
      </c>
      <c r="N42" s="0" t="n">
        <v>0.77</v>
      </c>
      <c r="O42" s="0" t="n">
        <v>4.03</v>
      </c>
      <c r="P42" s="0" t="n">
        <v>3.77</v>
      </c>
      <c r="Q42" s="0" t="n">
        <v>4.03</v>
      </c>
      <c r="R42" s="0" t="s">
        <v>292</v>
      </c>
      <c r="S42" s="0" t="s">
        <v>293</v>
      </c>
      <c r="T42" s="0" t="s">
        <v>294</v>
      </c>
      <c r="U42" s="0" t="s">
        <v>28</v>
      </c>
      <c r="V42" s="0" t="n">
        <f aca="false">(I42/100 + O42/5) / 2</f>
        <v>0.698</v>
      </c>
      <c r="W42" s="0" t="n">
        <f aca="false">(J42/100 + P42/5) / 2</f>
        <v>0.5012</v>
      </c>
      <c r="X42" s="0" t="n">
        <f aca="false">(K42/100 + Q42/5) / 2</f>
        <v>0.698</v>
      </c>
    </row>
    <row r="43" customFormat="false" ht="12.8" hidden="false" customHeight="false" outlineLevel="0" collapsed="false">
      <c r="A43" s="0" t="s">
        <v>295</v>
      </c>
      <c r="B43" s="0" t="s">
        <v>296</v>
      </c>
      <c r="C43" s="0" t="s">
        <v>297</v>
      </c>
      <c r="D43" s="0" t="s">
        <v>298</v>
      </c>
      <c r="E43" s="0" t="s">
        <v>298</v>
      </c>
      <c r="F43" s="0" t="n">
        <v>1</v>
      </c>
      <c r="G43" s="0" t="n">
        <v>1</v>
      </c>
      <c r="H43" s="0" t="n">
        <v>1</v>
      </c>
      <c r="I43" s="0" t="n">
        <v>39.86</v>
      </c>
      <c r="J43" s="0" t="n">
        <v>50.81</v>
      </c>
      <c r="K43" s="0" t="n">
        <v>50.81</v>
      </c>
      <c r="L43" s="0" t="n">
        <v>0.86</v>
      </c>
      <c r="M43" s="0" t="n">
        <v>0.91</v>
      </c>
      <c r="N43" s="0" t="n">
        <v>0.91</v>
      </c>
      <c r="O43" s="0" t="n">
        <v>4.82</v>
      </c>
      <c r="P43" s="0" t="n">
        <v>4.81</v>
      </c>
      <c r="Q43" s="0" t="n">
        <v>4.81</v>
      </c>
      <c r="R43" s="0" t="s">
        <v>299</v>
      </c>
      <c r="S43" s="0" t="s">
        <v>188</v>
      </c>
      <c r="T43" s="0" t="s">
        <v>26</v>
      </c>
      <c r="U43" s="0" t="s">
        <v>93</v>
      </c>
      <c r="V43" s="0" t="n">
        <f aca="false">(I43/100 + O43/5) / 2</f>
        <v>0.6813</v>
      </c>
      <c r="W43" s="0" t="n">
        <f aca="false">(J43/100 + P43/5) / 2</f>
        <v>0.73505</v>
      </c>
      <c r="X43" s="0" t="n">
        <f aca="false">(K43/100 + Q43/5) / 2</f>
        <v>0.73505</v>
      </c>
    </row>
    <row r="44" customFormat="false" ht="12.8" hidden="false" customHeight="false" outlineLevel="0" collapsed="false">
      <c r="A44" s="0" t="s">
        <v>300</v>
      </c>
      <c r="B44" s="0" t="s">
        <v>301</v>
      </c>
      <c r="C44" s="0" t="s">
        <v>302</v>
      </c>
      <c r="D44" s="0" t="s">
        <v>303</v>
      </c>
      <c r="E44" s="0" t="s">
        <v>304</v>
      </c>
      <c r="F44" s="0" t="n">
        <v>1</v>
      </c>
      <c r="G44" s="0" t="n">
        <v>0</v>
      </c>
      <c r="H44" s="0" t="n">
        <v>1</v>
      </c>
      <c r="I44" s="0" t="n">
        <v>74.83</v>
      </c>
      <c r="J44" s="0" t="n">
        <v>26.34</v>
      </c>
      <c r="K44" s="0" t="n">
        <v>74.83</v>
      </c>
      <c r="L44" s="0" t="n">
        <v>0.96</v>
      </c>
      <c r="M44" s="0" t="n">
        <v>0.87</v>
      </c>
      <c r="N44" s="0" t="n">
        <v>0.96</v>
      </c>
      <c r="O44" s="0" t="n">
        <v>4.77</v>
      </c>
      <c r="P44" s="0" t="n">
        <v>3.76</v>
      </c>
      <c r="Q44" s="0" t="n">
        <v>4.77</v>
      </c>
      <c r="R44" s="0" t="s">
        <v>305</v>
      </c>
      <c r="S44" s="0" t="s">
        <v>306</v>
      </c>
      <c r="T44" s="0" t="s">
        <v>307</v>
      </c>
      <c r="U44" s="0" t="s">
        <v>36</v>
      </c>
      <c r="V44" s="0" t="n">
        <f aca="false">(I44/100 + O44/5) / 2</f>
        <v>0.85115</v>
      </c>
      <c r="W44" s="0" t="n">
        <f aca="false">(J44/100 + P44/5) / 2</f>
        <v>0.5077</v>
      </c>
      <c r="X44" s="0" t="n">
        <f aca="false">(K44/100 + Q44/5) / 2</f>
        <v>0.85115</v>
      </c>
    </row>
    <row r="45" customFormat="false" ht="12.8" hidden="false" customHeight="false" outlineLevel="0" collapsed="false">
      <c r="A45" s="0" t="s">
        <v>308</v>
      </c>
      <c r="B45" s="0" t="s">
        <v>309</v>
      </c>
      <c r="C45" s="0" t="s">
        <v>310</v>
      </c>
      <c r="D45" s="0" t="s">
        <v>311</v>
      </c>
      <c r="E45" s="0" t="s">
        <v>312</v>
      </c>
      <c r="F45" s="0" t="n">
        <v>0</v>
      </c>
      <c r="G45" s="0" t="n">
        <v>0</v>
      </c>
      <c r="H45" s="0" t="n">
        <v>1</v>
      </c>
      <c r="I45" s="0" t="n">
        <v>7.81</v>
      </c>
      <c r="J45" s="0" t="n">
        <v>36.56</v>
      </c>
      <c r="K45" s="0" t="n">
        <v>34.57</v>
      </c>
      <c r="L45" s="0" t="n">
        <v>0.92</v>
      </c>
      <c r="M45" s="0" t="n">
        <v>0.96</v>
      </c>
      <c r="N45" s="0" t="n">
        <v>0.95</v>
      </c>
      <c r="O45" s="0" t="n">
        <v>3.85</v>
      </c>
      <c r="P45" s="0" t="n">
        <v>4.06</v>
      </c>
      <c r="Q45" s="0" t="n">
        <v>3.94</v>
      </c>
      <c r="R45" s="0" t="s">
        <v>313</v>
      </c>
      <c r="S45" s="0" t="s">
        <v>314</v>
      </c>
      <c r="T45" s="0" t="s">
        <v>315</v>
      </c>
      <c r="U45" s="0" t="s">
        <v>36</v>
      </c>
      <c r="V45" s="0" t="n">
        <f aca="false">(I45/100 + O45/5) / 2</f>
        <v>0.42405</v>
      </c>
      <c r="W45" s="0" t="n">
        <f aca="false">(J45/100 + P45/5) / 2</f>
        <v>0.5888</v>
      </c>
      <c r="X45" s="0" t="n">
        <f aca="false">(K45/100 + Q45/5) / 2</f>
        <v>0.56685</v>
      </c>
    </row>
    <row r="46" customFormat="false" ht="12.8" hidden="false" customHeight="false" outlineLevel="0" collapsed="false">
      <c r="A46" s="0" t="s">
        <v>316</v>
      </c>
      <c r="B46" s="0" t="s">
        <v>317</v>
      </c>
      <c r="C46" s="0" t="s">
        <v>317</v>
      </c>
      <c r="D46" s="0" t="s">
        <v>318</v>
      </c>
      <c r="E46" s="0" t="s">
        <v>319</v>
      </c>
      <c r="F46" s="0" t="n">
        <v>1</v>
      </c>
      <c r="G46" s="0" t="n">
        <v>1</v>
      </c>
      <c r="H46" s="0" t="n">
        <v>1</v>
      </c>
      <c r="I46" s="0" t="n">
        <v>100</v>
      </c>
      <c r="J46" s="0" t="n">
        <v>25.07</v>
      </c>
      <c r="K46" s="0" t="n">
        <v>55.1</v>
      </c>
      <c r="L46" s="0" t="n">
        <v>0.98</v>
      </c>
      <c r="M46" s="0" t="n">
        <v>0.95</v>
      </c>
      <c r="N46" s="0" t="n">
        <v>0.95</v>
      </c>
      <c r="O46" s="0" t="n">
        <v>4.74</v>
      </c>
      <c r="P46" s="0" t="n">
        <v>4.71</v>
      </c>
      <c r="Q46" s="0" t="n">
        <v>4.71</v>
      </c>
      <c r="R46" s="0" t="s">
        <v>320</v>
      </c>
      <c r="S46" s="0" t="s">
        <v>92</v>
      </c>
      <c r="T46" s="0" t="s">
        <v>26</v>
      </c>
      <c r="U46" s="0" t="s">
        <v>93</v>
      </c>
      <c r="V46" s="0" t="n">
        <f aca="false">(I46/100 + O46/5) / 2</f>
        <v>0.974</v>
      </c>
      <c r="W46" s="0" t="n">
        <f aca="false">(J46/100 + P46/5) / 2</f>
        <v>0.59635</v>
      </c>
      <c r="X46" s="0" t="n">
        <f aca="false">(K46/100 + Q46/5) / 2</f>
        <v>0.7465</v>
      </c>
    </row>
    <row r="47" customFormat="false" ht="12.8" hidden="false" customHeight="false" outlineLevel="0" collapsed="false">
      <c r="A47" s="0" t="s">
        <v>321</v>
      </c>
      <c r="B47" s="0" t="s">
        <v>322</v>
      </c>
      <c r="C47" s="0" t="s">
        <v>323</v>
      </c>
      <c r="D47" s="0" t="s">
        <v>324</v>
      </c>
      <c r="E47" s="0" t="s">
        <v>325</v>
      </c>
      <c r="F47" s="0" t="n">
        <v>1</v>
      </c>
      <c r="G47" s="0" t="n">
        <v>1</v>
      </c>
      <c r="H47" s="0" t="n">
        <v>1</v>
      </c>
      <c r="I47" s="0" t="n">
        <v>75.98</v>
      </c>
      <c r="J47" s="0" t="n">
        <v>75.98</v>
      </c>
      <c r="K47" s="0" t="n">
        <v>36.06</v>
      </c>
      <c r="L47" s="0" t="n">
        <v>0.98</v>
      </c>
      <c r="M47" s="0" t="n">
        <v>0.96</v>
      </c>
      <c r="N47" s="0" t="n">
        <v>0.95</v>
      </c>
      <c r="O47" s="0" t="n">
        <v>3.59</v>
      </c>
      <c r="P47" s="0" t="n">
        <v>3.65</v>
      </c>
      <c r="Q47" s="0" t="n">
        <v>3.35</v>
      </c>
      <c r="R47" s="0" t="s">
        <v>326</v>
      </c>
      <c r="S47" s="0" t="s">
        <v>92</v>
      </c>
      <c r="T47" s="0" t="s">
        <v>327</v>
      </c>
      <c r="U47" s="0" t="s">
        <v>28</v>
      </c>
      <c r="V47" s="0" t="n">
        <f aca="false">(I47/100 + O47/5) / 2</f>
        <v>0.7389</v>
      </c>
      <c r="W47" s="0" t="n">
        <f aca="false">(J47/100 + P47/5) / 2</f>
        <v>0.7449</v>
      </c>
      <c r="X47" s="0" t="n">
        <f aca="false">(K47/100 + Q47/5) / 2</f>
        <v>0.5153</v>
      </c>
    </row>
    <row r="48" customFormat="false" ht="12.8" hidden="false" customHeight="false" outlineLevel="0" collapsed="false">
      <c r="A48" s="0" t="s">
        <v>328</v>
      </c>
      <c r="B48" s="0" t="s">
        <v>329</v>
      </c>
      <c r="C48" s="0" t="s">
        <v>330</v>
      </c>
      <c r="D48" s="0" t="s">
        <v>331</v>
      </c>
      <c r="E48" s="0" t="s">
        <v>332</v>
      </c>
      <c r="F48" s="0" t="n">
        <v>1</v>
      </c>
      <c r="G48" s="0" t="n">
        <v>0</v>
      </c>
      <c r="H48" s="0" t="n">
        <v>0</v>
      </c>
      <c r="I48" s="0" t="n">
        <v>75.98</v>
      </c>
      <c r="J48" s="0" t="n">
        <v>53.73</v>
      </c>
      <c r="K48" s="0" t="n">
        <v>54.75</v>
      </c>
      <c r="L48" s="0" t="n">
        <v>0.89</v>
      </c>
      <c r="M48" s="0" t="n">
        <v>0.84</v>
      </c>
      <c r="N48" s="0" t="n">
        <v>0.92</v>
      </c>
      <c r="O48" s="0" t="n">
        <v>4.46</v>
      </c>
      <c r="P48" s="0" t="n">
        <v>4.33</v>
      </c>
      <c r="Q48" s="0" t="n">
        <v>4.39</v>
      </c>
      <c r="R48" s="0" t="s">
        <v>333</v>
      </c>
      <c r="S48" s="0" t="s">
        <v>314</v>
      </c>
      <c r="T48" s="0" t="s">
        <v>334</v>
      </c>
      <c r="U48" s="0" t="s">
        <v>36</v>
      </c>
      <c r="V48" s="0" t="n">
        <f aca="false">(I48/100 + O48/5) / 2</f>
        <v>0.8259</v>
      </c>
      <c r="W48" s="0" t="n">
        <f aca="false">(J48/100 + P48/5) / 2</f>
        <v>0.70165</v>
      </c>
      <c r="X48" s="0" t="n">
        <f aca="false">(K48/100 + Q48/5) / 2</f>
        <v>0.71275</v>
      </c>
    </row>
    <row r="49" customFormat="false" ht="12.8" hidden="false" customHeight="false" outlineLevel="0" collapsed="false">
      <c r="A49" s="0" t="s">
        <v>335</v>
      </c>
      <c r="B49" s="0" t="s">
        <v>336</v>
      </c>
      <c r="C49" s="0" t="s">
        <v>337</v>
      </c>
      <c r="D49" s="0" t="s">
        <v>338</v>
      </c>
      <c r="E49" s="0" t="s">
        <v>339</v>
      </c>
      <c r="F49" s="0" t="n">
        <v>1</v>
      </c>
      <c r="G49" s="0" t="n">
        <v>1</v>
      </c>
      <c r="H49" s="0" t="n">
        <v>1</v>
      </c>
      <c r="I49" s="0" t="n">
        <v>59.46</v>
      </c>
      <c r="J49" s="0" t="n">
        <v>59.46</v>
      </c>
      <c r="K49" s="0" t="n">
        <v>6.57</v>
      </c>
      <c r="L49" s="0" t="n">
        <v>0.96</v>
      </c>
      <c r="M49" s="0" t="n">
        <v>0.96</v>
      </c>
      <c r="N49" s="0" t="n">
        <v>0.84</v>
      </c>
      <c r="O49" s="0" t="n">
        <v>5.14</v>
      </c>
      <c r="P49" s="0" t="n">
        <v>5.01</v>
      </c>
      <c r="Q49" s="0" t="n">
        <v>4.23</v>
      </c>
      <c r="R49" s="0" t="s">
        <v>340</v>
      </c>
      <c r="S49" s="0" t="s">
        <v>341</v>
      </c>
      <c r="T49" s="0" t="s">
        <v>342</v>
      </c>
      <c r="U49" s="0" t="s">
        <v>28</v>
      </c>
      <c r="V49" s="0" t="n">
        <f aca="false">(I49/100 + O49/5) / 2</f>
        <v>0.8113</v>
      </c>
      <c r="W49" s="0" t="n">
        <f aca="false">(J49/100 + P49/5) / 2</f>
        <v>0.7983</v>
      </c>
      <c r="X49" s="0" t="n">
        <f aca="false">(K49/100 + Q49/5) / 2</f>
        <v>0.45585</v>
      </c>
    </row>
    <row r="50" customFormat="false" ht="12.8" hidden="false" customHeight="false" outlineLevel="0" collapsed="false">
      <c r="A50" s="0" t="s">
        <v>343</v>
      </c>
      <c r="B50" s="0" t="s">
        <v>344</v>
      </c>
      <c r="C50" s="0" t="s">
        <v>344</v>
      </c>
      <c r="D50" s="0" t="s">
        <v>345</v>
      </c>
      <c r="E50" s="0" t="s">
        <v>346</v>
      </c>
      <c r="F50" s="0" t="n">
        <v>1</v>
      </c>
      <c r="G50" s="0" t="n">
        <v>1</v>
      </c>
      <c r="H50" s="0" t="n">
        <v>1</v>
      </c>
      <c r="I50" s="0" t="n">
        <v>100</v>
      </c>
      <c r="J50" s="0" t="n">
        <v>68.04</v>
      </c>
      <c r="K50" s="0" t="n">
        <v>20.16</v>
      </c>
      <c r="L50" s="0" t="n">
        <v>0.98</v>
      </c>
      <c r="M50" s="0" t="n">
        <v>0.96</v>
      </c>
      <c r="N50" s="0" t="n">
        <v>0.92</v>
      </c>
      <c r="O50" s="0" t="n">
        <v>4.76</v>
      </c>
      <c r="P50" s="0" t="n">
        <v>4.64</v>
      </c>
      <c r="Q50" s="0" t="n">
        <v>4.31</v>
      </c>
      <c r="R50" s="0" t="s">
        <v>347</v>
      </c>
      <c r="S50" s="0" t="s">
        <v>188</v>
      </c>
      <c r="T50" s="0" t="s">
        <v>348</v>
      </c>
      <c r="U50" s="0" t="s">
        <v>28</v>
      </c>
      <c r="V50" s="0" t="n">
        <f aca="false">(I50/100 + O50/5) / 2</f>
        <v>0.976</v>
      </c>
      <c r="W50" s="0" t="n">
        <f aca="false">(J50/100 + P50/5) / 2</f>
        <v>0.8042</v>
      </c>
      <c r="X50" s="0" t="n">
        <f aca="false">(K50/100 + Q50/5) / 2</f>
        <v>0.5318</v>
      </c>
    </row>
    <row r="51" customFormat="false" ht="12.8" hidden="false" customHeight="false" outlineLevel="0" collapsed="false">
      <c r="A51" s="0" t="s">
        <v>349</v>
      </c>
      <c r="B51" s="0" t="s">
        <v>350</v>
      </c>
      <c r="C51" s="0" t="s">
        <v>351</v>
      </c>
      <c r="D51" s="0" t="s">
        <v>352</v>
      </c>
      <c r="E51" s="0" t="s">
        <v>353</v>
      </c>
      <c r="F51" s="0" t="n">
        <v>1</v>
      </c>
      <c r="G51" s="0" t="n">
        <v>0</v>
      </c>
      <c r="H51" s="0" t="n">
        <v>1</v>
      </c>
      <c r="I51" s="0" t="n">
        <v>65.8</v>
      </c>
      <c r="J51" s="0" t="n">
        <v>39.28</v>
      </c>
      <c r="K51" s="0" t="n">
        <v>25.21</v>
      </c>
      <c r="L51" s="0" t="n">
        <v>0.95</v>
      </c>
      <c r="M51" s="0" t="n">
        <v>0.93</v>
      </c>
      <c r="N51" s="0" t="n">
        <v>0.9</v>
      </c>
      <c r="O51" s="0" t="n">
        <v>4.61</v>
      </c>
      <c r="P51" s="0" t="n">
        <v>4.54</v>
      </c>
      <c r="Q51" s="0" t="n">
        <v>4.47</v>
      </c>
      <c r="R51" s="0" t="s">
        <v>354</v>
      </c>
      <c r="S51" s="0" t="s">
        <v>355</v>
      </c>
      <c r="T51" s="0" t="s">
        <v>356</v>
      </c>
      <c r="U51" s="0" t="s">
        <v>93</v>
      </c>
      <c r="V51" s="0" t="n">
        <f aca="false">(I51/100 + O51/5) / 2</f>
        <v>0.79</v>
      </c>
      <c r="W51" s="0" t="n">
        <f aca="false">(J51/100 + P51/5) / 2</f>
        <v>0.6504</v>
      </c>
      <c r="X51" s="0" t="n">
        <f aca="false">(K51/100 + Q51/5) / 2</f>
        <v>0.57305</v>
      </c>
    </row>
    <row r="52" customFormat="false" ht="12.8" hidden="false" customHeight="false" outlineLevel="0" collapsed="false">
      <c r="A52" s="0" t="s">
        <v>357</v>
      </c>
      <c r="B52" s="0" t="s">
        <v>358</v>
      </c>
      <c r="C52" s="0" t="s">
        <v>359</v>
      </c>
      <c r="D52" s="0" t="s">
        <v>360</v>
      </c>
      <c r="E52" s="0" t="s">
        <v>361</v>
      </c>
      <c r="F52" s="0" t="n">
        <v>0</v>
      </c>
      <c r="G52" s="0" t="n">
        <v>0</v>
      </c>
      <c r="H52" s="0" t="n">
        <v>1</v>
      </c>
      <c r="I52" s="0" t="n">
        <v>75.98</v>
      </c>
      <c r="J52" s="0" t="n">
        <v>19.3</v>
      </c>
      <c r="K52" s="0" t="n">
        <v>61.48</v>
      </c>
      <c r="L52" s="0" t="n">
        <v>0.94</v>
      </c>
      <c r="M52" s="0" t="n">
        <v>0.88</v>
      </c>
      <c r="N52" s="0" t="n">
        <v>0.9</v>
      </c>
      <c r="O52" s="0" t="n">
        <v>4.7</v>
      </c>
      <c r="P52" s="0" t="n">
        <v>4.64</v>
      </c>
      <c r="Q52" s="0" t="n">
        <v>4.37</v>
      </c>
      <c r="R52" s="0" t="s">
        <v>362</v>
      </c>
      <c r="S52" s="0" t="s">
        <v>363</v>
      </c>
      <c r="T52" s="0" t="s">
        <v>364</v>
      </c>
      <c r="U52" s="0" t="s">
        <v>36</v>
      </c>
      <c r="V52" s="0" t="n">
        <f aca="false">(I52/100 + O52/5) / 2</f>
        <v>0.8499</v>
      </c>
      <c r="W52" s="0" t="n">
        <f aca="false">(J52/100 + P52/5) / 2</f>
        <v>0.5605</v>
      </c>
      <c r="X52" s="0" t="n">
        <f aca="false">(K52/100 + Q52/5) / 2</f>
        <v>0.7444</v>
      </c>
    </row>
    <row r="53" customFormat="false" ht="12.8" hidden="false" customHeight="false" outlineLevel="0" collapsed="false">
      <c r="A53" s="0" t="s">
        <v>365</v>
      </c>
      <c r="B53" s="0" t="s">
        <v>366</v>
      </c>
      <c r="C53" s="0" t="s">
        <v>367</v>
      </c>
      <c r="D53" s="0" t="s">
        <v>368</v>
      </c>
      <c r="E53" s="0" t="s">
        <v>369</v>
      </c>
      <c r="F53" s="0" t="n">
        <v>0</v>
      </c>
      <c r="G53" s="0" t="n">
        <v>0</v>
      </c>
      <c r="H53" s="0" t="n">
        <v>1</v>
      </c>
      <c r="I53" s="0" t="n">
        <v>53.73</v>
      </c>
      <c r="J53" s="0" t="n">
        <v>50.81</v>
      </c>
      <c r="K53" s="0" t="n">
        <v>36.56</v>
      </c>
      <c r="L53" s="0" t="n">
        <v>0.89</v>
      </c>
      <c r="M53" s="0" t="n">
        <v>0.64</v>
      </c>
      <c r="N53" s="0" t="n">
        <v>0.8</v>
      </c>
      <c r="O53" s="0" t="n">
        <v>4.81</v>
      </c>
      <c r="P53" s="0" t="n">
        <v>4.47</v>
      </c>
      <c r="Q53" s="0" t="n">
        <v>4.84</v>
      </c>
      <c r="R53" s="0" t="s">
        <v>370</v>
      </c>
      <c r="S53" s="0" t="s">
        <v>371</v>
      </c>
      <c r="T53" s="0" t="s">
        <v>372</v>
      </c>
      <c r="U53" s="0" t="s">
        <v>93</v>
      </c>
      <c r="V53" s="0" t="n">
        <f aca="false">(I53/100 + O53/5) / 2</f>
        <v>0.74965</v>
      </c>
      <c r="W53" s="0" t="n">
        <f aca="false">(J53/100 + P53/5) / 2</f>
        <v>0.70105</v>
      </c>
      <c r="X53" s="0" t="n">
        <f aca="false">(K53/100 + Q53/5) / 2</f>
        <v>0.6668</v>
      </c>
    </row>
    <row r="54" customFormat="false" ht="12.8" hidden="false" customHeight="false" outlineLevel="0" collapsed="false">
      <c r="A54" s="0" t="s">
        <v>373</v>
      </c>
      <c r="B54" s="0" t="s">
        <v>374</v>
      </c>
      <c r="C54" s="0" t="s">
        <v>375</v>
      </c>
      <c r="D54" s="0" t="s">
        <v>376</v>
      </c>
      <c r="E54" s="0" t="s">
        <v>377</v>
      </c>
      <c r="F54" s="0" t="n">
        <v>0</v>
      </c>
      <c r="G54" s="0" t="n">
        <v>0</v>
      </c>
      <c r="H54" s="0" t="n">
        <v>0</v>
      </c>
      <c r="I54" s="0" t="n">
        <v>50.17</v>
      </c>
      <c r="J54" s="0" t="n">
        <v>46.83</v>
      </c>
      <c r="K54" s="0" t="n">
        <v>43.62</v>
      </c>
      <c r="L54" s="0" t="n">
        <v>0.9</v>
      </c>
      <c r="M54" s="0" t="n">
        <v>0.82</v>
      </c>
      <c r="N54" s="0" t="n">
        <v>0.88</v>
      </c>
      <c r="O54" s="0" t="n">
        <v>4.49</v>
      </c>
      <c r="P54" s="0" t="n">
        <v>3.67</v>
      </c>
      <c r="Q54" s="0" t="n">
        <v>4</v>
      </c>
      <c r="R54" s="0" t="s">
        <v>378</v>
      </c>
      <c r="S54" s="0" t="s">
        <v>378</v>
      </c>
      <c r="T54" s="0" t="s">
        <v>378</v>
      </c>
      <c r="U54" s="0" t="s">
        <v>54</v>
      </c>
      <c r="V54" s="0" t="n">
        <f aca="false">(I54/100 + O54/5) / 2</f>
        <v>0.69985</v>
      </c>
      <c r="W54" s="0" t="n">
        <f aca="false">(J54/100 + P54/5) / 2</f>
        <v>0.60115</v>
      </c>
      <c r="X54" s="0" t="n">
        <f aca="false">(K54/100 + Q54/5) / 2</f>
        <v>0.6181</v>
      </c>
    </row>
    <row r="55" customFormat="false" ht="12.8" hidden="false" customHeight="false" outlineLevel="0" collapsed="false">
      <c r="A55" s="0" t="s">
        <v>379</v>
      </c>
      <c r="B55" s="0" t="s">
        <v>380</v>
      </c>
      <c r="C55" s="0" t="s">
        <v>381</v>
      </c>
      <c r="D55" s="0" t="s">
        <v>382</v>
      </c>
      <c r="E55" s="0" t="s">
        <v>383</v>
      </c>
      <c r="F55" s="0" t="n">
        <v>1</v>
      </c>
      <c r="G55" s="0" t="n">
        <v>1</v>
      </c>
      <c r="H55" s="0" t="n">
        <v>1</v>
      </c>
      <c r="I55" s="0" t="n">
        <v>74.19</v>
      </c>
      <c r="J55" s="0" t="n">
        <v>100</v>
      </c>
      <c r="K55" s="0" t="n">
        <v>30.37</v>
      </c>
      <c r="L55" s="0" t="n">
        <v>0.94</v>
      </c>
      <c r="M55" s="0" t="n">
        <v>0.97</v>
      </c>
      <c r="N55" s="0" t="n">
        <v>0.91</v>
      </c>
      <c r="O55" s="0" t="n">
        <v>4.71</v>
      </c>
      <c r="P55" s="0" t="n">
        <v>4.73</v>
      </c>
      <c r="Q55" s="0" t="n">
        <v>4.41</v>
      </c>
      <c r="R55" s="0" t="s">
        <v>384</v>
      </c>
      <c r="S55" s="0" t="s">
        <v>188</v>
      </c>
      <c r="T55" s="0" t="s">
        <v>385</v>
      </c>
      <c r="U55" s="0" t="s">
        <v>28</v>
      </c>
      <c r="V55" s="0" t="n">
        <f aca="false">(I55/100 + O55/5) / 2</f>
        <v>0.84195</v>
      </c>
      <c r="W55" s="0" t="n">
        <f aca="false">(J55/100 + P55/5) / 2</f>
        <v>0.973</v>
      </c>
      <c r="X55" s="0" t="n">
        <f aca="false">(K55/100 + Q55/5) / 2</f>
        <v>0.59285</v>
      </c>
    </row>
    <row r="56" customFormat="false" ht="12.8" hidden="false" customHeight="false" outlineLevel="0" collapsed="false">
      <c r="A56" s="0" t="s">
        <v>386</v>
      </c>
      <c r="B56" s="0" t="s">
        <v>387</v>
      </c>
      <c r="C56" s="0" t="s">
        <v>387</v>
      </c>
      <c r="D56" s="0" t="s">
        <v>388</v>
      </c>
      <c r="E56" s="0" t="s">
        <v>389</v>
      </c>
      <c r="F56" s="0" t="n">
        <v>1</v>
      </c>
      <c r="G56" s="0" t="n">
        <v>0</v>
      </c>
      <c r="H56" s="0" t="n">
        <v>1</v>
      </c>
      <c r="I56" s="0" t="n">
        <v>100</v>
      </c>
      <c r="J56" s="0" t="n">
        <v>21.36</v>
      </c>
      <c r="K56" s="0" t="n">
        <v>12.7</v>
      </c>
      <c r="L56" s="0" t="n">
        <v>0.97</v>
      </c>
      <c r="M56" s="0" t="n">
        <v>0.65</v>
      </c>
      <c r="N56" s="0" t="n">
        <v>0.81</v>
      </c>
      <c r="O56" s="0" t="n">
        <v>4.67</v>
      </c>
      <c r="P56" s="0" t="n">
        <v>3.73</v>
      </c>
      <c r="Q56" s="0" t="n">
        <v>4.35</v>
      </c>
      <c r="R56" s="0" t="s">
        <v>390</v>
      </c>
      <c r="S56" s="0" t="s">
        <v>391</v>
      </c>
      <c r="T56" s="0" t="s">
        <v>392</v>
      </c>
      <c r="U56" s="0" t="s">
        <v>28</v>
      </c>
      <c r="V56" s="0" t="n">
        <f aca="false">(I56/100 + O56/5) / 2</f>
        <v>0.967</v>
      </c>
      <c r="W56" s="0" t="n">
        <f aca="false">(J56/100 + P56/5) / 2</f>
        <v>0.4798</v>
      </c>
      <c r="X56" s="0" t="n">
        <f aca="false">(K56/100 + Q56/5) / 2</f>
        <v>0.4985</v>
      </c>
    </row>
    <row r="57" customFormat="false" ht="12.8" hidden="false" customHeight="false" outlineLevel="0" collapsed="false">
      <c r="A57" s="0" t="s">
        <v>393</v>
      </c>
      <c r="B57" s="0" t="s">
        <v>394</v>
      </c>
      <c r="C57" s="0" t="s">
        <v>394</v>
      </c>
      <c r="D57" s="0" t="s">
        <v>395</v>
      </c>
      <c r="E57" s="0" t="s">
        <v>396</v>
      </c>
      <c r="F57" s="0" t="n">
        <v>1</v>
      </c>
      <c r="G57" s="0" t="n">
        <v>0</v>
      </c>
      <c r="H57" s="0" t="n">
        <v>0</v>
      </c>
      <c r="I57" s="0" t="n">
        <v>100</v>
      </c>
      <c r="J57" s="0" t="n">
        <v>66.87</v>
      </c>
      <c r="K57" s="0" t="n">
        <v>66.87</v>
      </c>
      <c r="L57" s="0" t="n">
        <v>0.97</v>
      </c>
      <c r="M57" s="0" t="n">
        <v>0.9</v>
      </c>
      <c r="N57" s="0" t="n">
        <v>0.7</v>
      </c>
      <c r="O57" s="0" t="n">
        <v>3.83</v>
      </c>
      <c r="P57" s="0" t="n">
        <v>3.49</v>
      </c>
      <c r="Q57" s="0" t="n">
        <v>3.74</v>
      </c>
      <c r="R57" s="0" t="s">
        <v>397</v>
      </c>
      <c r="S57" s="0" t="s">
        <v>398</v>
      </c>
      <c r="T57" s="0" t="s">
        <v>399</v>
      </c>
      <c r="U57" s="0" t="s">
        <v>36</v>
      </c>
      <c r="V57" s="0" t="n">
        <f aca="false">(I57/100 + O57/5) / 2</f>
        <v>0.883</v>
      </c>
      <c r="W57" s="0" t="n">
        <f aca="false">(J57/100 + P57/5) / 2</f>
        <v>0.68335</v>
      </c>
      <c r="X57" s="0" t="n">
        <f aca="false">(K57/100 + Q57/5) / 2</f>
        <v>0.70835</v>
      </c>
    </row>
    <row r="58" customFormat="false" ht="12.8" hidden="false" customHeight="false" outlineLevel="0" collapsed="false">
      <c r="A58" s="0" t="s">
        <v>400</v>
      </c>
      <c r="B58" s="0" t="s">
        <v>401</v>
      </c>
      <c r="C58" s="0" t="s">
        <v>401</v>
      </c>
      <c r="D58" s="0" t="s">
        <v>402</v>
      </c>
      <c r="E58" s="0" t="s">
        <v>403</v>
      </c>
      <c r="F58" s="0" t="n">
        <v>1</v>
      </c>
      <c r="G58" s="0" t="n">
        <v>0</v>
      </c>
      <c r="H58" s="0" t="n">
        <v>1</v>
      </c>
      <c r="I58" s="0" t="n">
        <v>100</v>
      </c>
      <c r="J58" s="0" t="n">
        <v>66.87</v>
      </c>
      <c r="K58" s="0" t="n">
        <v>100</v>
      </c>
      <c r="L58" s="0" t="n">
        <v>0.99</v>
      </c>
      <c r="M58" s="0" t="n">
        <v>0.94</v>
      </c>
      <c r="N58" s="0" t="n">
        <v>0.99</v>
      </c>
      <c r="O58" s="0" t="n">
        <v>4.66</v>
      </c>
      <c r="P58" s="0" t="n">
        <v>4.06</v>
      </c>
      <c r="Q58" s="0" t="n">
        <v>4.66</v>
      </c>
      <c r="R58" s="0" t="s">
        <v>404</v>
      </c>
      <c r="S58" s="0" t="s">
        <v>405</v>
      </c>
      <c r="T58" s="0" t="s">
        <v>406</v>
      </c>
      <c r="U58" s="0" t="s">
        <v>36</v>
      </c>
      <c r="V58" s="0" t="n">
        <f aca="false">(I58/100 + O58/5) / 2</f>
        <v>0.966</v>
      </c>
      <c r="W58" s="0" t="n">
        <f aca="false">(J58/100 + P58/5) / 2</f>
        <v>0.74035</v>
      </c>
      <c r="X58" s="0" t="n">
        <f aca="false">(K58/100 + Q58/5) / 2</f>
        <v>0.966</v>
      </c>
    </row>
    <row r="59" customFormat="false" ht="12.8" hidden="false" customHeight="false" outlineLevel="0" collapsed="false">
      <c r="A59" s="0" t="s">
        <v>407</v>
      </c>
      <c r="B59" s="0" t="s">
        <v>408</v>
      </c>
      <c r="C59" s="0" t="s">
        <v>408</v>
      </c>
      <c r="D59" s="0" t="s">
        <v>409</v>
      </c>
      <c r="E59" s="0" t="s">
        <v>410</v>
      </c>
      <c r="F59" s="0" t="n">
        <v>1</v>
      </c>
      <c r="G59" s="0" t="n">
        <v>1</v>
      </c>
      <c r="H59" s="0" t="n">
        <v>1</v>
      </c>
      <c r="I59" s="0" t="n">
        <v>100</v>
      </c>
      <c r="J59" s="0" t="n">
        <v>100</v>
      </c>
      <c r="K59" s="0" t="n">
        <v>36.56</v>
      </c>
      <c r="L59" s="0" t="n">
        <v>0.96</v>
      </c>
      <c r="M59" s="0" t="n">
        <v>0.96</v>
      </c>
      <c r="N59" s="0" t="n">
        <v>0.77</v>
      </c>
      <c r="O59" s="0" t="n">
        <v>4.58</v>
      </c>
      <c r="P59" s="0" t="n">
        <v>4.58</v>
      </c>
      <c r="Q59" s="0" t="n">
        <v>4.5</v>
      </c>
      <c r="R59" s="0" t="s">
        <v>411</v>
      </c>
      <c r="S59" s="0" t="s">
        <v>412</v>
      </c>
      <c r="T59" s="0" t="s">
        <v>26</v>
      </c>
      <c r="U59" s="0" t="s">
        <v>93</v>
      </c>
      <c r="V59" s="0" t="n">
        <f aca="false">(I59/100 + O59/5) / 2</f>
        <v>0.958</v>
      </c>
      <c r="W59" s="0" t="n">
        <f aca="false">(J59/100 + P59/5) / 2</f>
        <v>0.958</v>
      </c>
      <c r="X59" s="0" t="n">
        <f aca="false">(K59/100 + Q59/5) / 2</f>
        <v>0.6328</v>
      </c>
    </row>
    <row r="60" customFormat="false" ht="12.8" hidden="false" customHeight="false" outlineLevel="0" collapsed="false">
      <c r="A60" s="0" t="s">
        <v>413</v>
      </c>
      <c r="B60" s="0" t="s">
        <v>414</v>
      </c>
      <c r="C60" s="0" t="s">
        <v>414</v>
      </c>
      <c r="D60" s="0" t="s">
        <v>415</v>
      </c>
      <c r="E60" s="0" t="s">
        <v>415</v>
      </c>
      <c r="F60" s="0" t="n">
        <v>1</v>
      </c>
      <c r="G60" s="0" t="n">
        <v>1</v>
      </c>
      <c r="H60" s="0" t="n">
        <v>1</v>
      </c>
      <c r="I60" s="0" t="n">
        <v>100</v>
      </c>
      <c r="J60" s="0" t="n">
        <v>100</v>
      </c>
      <c r="K60" s="0" t="n">
        <v>100</v>
      </c>
      <c r="L60" s="0" t="n">
        <v>0.99</v>
      </c>
      <c r="M60" s="0" t="n">
        <v>0.99</v>
      </c>
      <c r="N60" s="0" t="n">
        <v>0.99</v>
      </c>
      <c r="O60" s="0" t="n">
        <v>4.88</v>
      </c>
      <c r="P60" s="0" t="n">
        <v>4.88</v>
      </c>
      <c r="Q60" s="0" t="n">
        <v>4.88</v>
      </c>
      <c r="R60" s="0" t="s">
        <v>26</v>
      </c>
      <c r="S60" s="0" t="s">
        <v>26</v>
      </c>
      <c r="T60" s="0" t="s">
        <v>26</v>
      </c>
      <c r="U60" s="0" t="s">
        <v>54</v>
      </c>
      <c r="V60" s="0" t="n">
        <f aca="false">(I60/100 + O60/5) / 2</f>
        <v>0.988</v>
      </c>
      <c r="W60" s="0" t="n">
        <f aca="false">(J60/100 + P60/5) / 2</f>
        <v>0.988</v>
      </c>
      <c r="X60" s="0" t="n">
        <f aca="false">(K60/100 + Q60/5) / 2</f>
        <v>0.988</v>
      </c>
    </row>
    <row r="61" customFormat="false" ht="12.8" hidden="false" customHeight="false" outlineLevel="0" collapsed="false">
      <c r="A61" s="0" t="s">
        <v>416</v>
      </c>
      <c r="B61" s="0" t="s">
        <v>417</v>
      </c>
      <c r="C61" s="0" t="s">
        <v>417</v>
      </c>
      <c r="D61" s="0" t="s">
        <v>418</v>
      </c>
      <c r="E61" s="0" t="s">
        <v>418</v>
      </c>
      <c r="F61" s="0" t="n">
        <v>1</v>
      </c>
      <c r="G61" s="0" t="n">
        <v>1</v>
      </c>
      <c r="H61" s="0" t="n">
        <v>1</v>
      </c>
      <c r="I61" s="0" t="n">
        <v>100</v>
      </c>
      <c r="J61" s="0" t="n">
        <v>100</v>
      </c>
      <c r="K61" s="0" t="n">
        <v>100</v>
      </c>
      <c r="L61" s="0" t="n">
        <v>0.98</v>
      </c>
      <c r="M61" s="0" t="n">
        <v>0.98</v>
      </c>
      <c r="N61" s="0" t="n">
        <v>0.98</v>
      </c>
      <c r="O61" s="0" t="n">
        <v>4.97</v>
      </c>
      <c r="P61" s="0" t="n">
        <v>4.97</v>
      </c>
      <c r="Q61" s="0" t="n">
        <v>4.97</v>
      </c>
      <c r="R61" s="0" t="s">
        <v>26</v>
      </c>
      <c r="S61" s="0" t="s">
        <v>26</v>
      </c>
      <c r="T61" s="0" t="s">
        <v>26</v>
      </c>
      <c r="U61" s="0" t="s">
        <v>54</v>
      </c>
      <c r="V61" s="0" t="n">
        <f aca="false">(I61/100 + O61/5) / 2</f>
        <v>0.997</v>
      </c>
      <c r="W61" s="0" t="n">
        <f aca="false">(J61/100 + P61/5) / 2</f>
        <v>0.997</v>
      </c>
      <c r="X61" s="0" t="n">
        <f aca="false">(K61/100 + Q61/5) / 2</f>
        <v>0.997</v>
      </c>
    </row>
    <row r="62" customFormat="false" ht="12.8" hidden="false" customHeight="false" outlineLevel="0" collapsed="false">
      <c r="A62" s="0" t="s">
        <v>419</v>
      </c>
      <c r="B62" s="0" t="s">
        <v>420</v>
      </c>
      <c r="C62" s="0" t="s">
        <v>420</v>
      </c>
      <c r="D62" s="0" t="s">
        <v>421</v>
      </c>
      <c r="E62" s="0" t="s">
        <v>422</v>
      </c>
      <c r="F62" s="0" t="n">
        <v>1</v>
      </c>
      <c r="G62" s="0" t="n">
        <v>1</v>
      </c>
      <c r="H62" s="0" t="n">
        <v>1</v>
      </c>
      <c r="I62" s="0" t="n">
        <v>100</v>
      </c>
      <c r="J62" s="0" t="n">
        <v>100</v>
      </c>
      <c r="K62" s="0" t="n">
        <v>13.89</v>
      </c>
      <c r="L62" s="0" t="n">
        <v>0.98</v>
      </c>
      <c r="M62" s="0" t="n">
        <v>0.98</v>
      </c>
      <c r="N62" s="0" t="n">
        <v>0.96</v>
      </c>
      <c r="O62" s="0" t="n">
        <v>4.78</v>
      </c>
      <c r="P62" s="0" t="n">
        <v>4.78</v>
      </c>
      <c r="Q62" s="0" t="n">
        <v>4.07</v>
      </c>
      <c r="R62" s="0" t="s">
        <v>423</v>
      </c>
      <c r="S62" s="0" t="s">
        <v>26</v>
      </c>
      <c r="T62" s="0" t="s">
        <v>424</v>
      </c>
      <c r="U62" s="0" t="s">
        <v>28</v>
      </c>
      <c r="V62" s="0" t="n">
        <f aca="false">(I62/100 + O62/5) / 2</f>
        <v>0.978</v>
      </c>
      <c r="W62" s="0" t="n">
        <f aca="false">(J62/100 + P62/5) / 2</f>
        <v>0.978</v>
      </c>
      <c r="X62" s="0" t="n">
        <f aca="false">(K62/100 + Q62/5) / 2</f>
        <v>0.47645</v>
      </c>
    </row>
    <row r="63" customFormat="false" ht="12.8" hidden="false" customHeight="false" outlineLevel="0" collapsed="false">
      <c r="A63" s="0" t="s">
        <v>425</v>
      </c>
      <c r="B63" s="0" t="s">
        <v>426</v>
      </c>
      <c r="C63" s="0" t="s">
        <v>426</v>
      </c>
      <c r="D63" s="0" t="s">
        <v>427</v>
      </c>
      <c r="E63" s="0" t="s">
        <v>427</v>
      </c>
      <c r="F63" s="0" t="n">
        <v>1</v>
      </c>
      <c r="G63" s="0" t="n">
        <v>1</v>
      </c>
      <c r="H63" s="0" t="n">
        <v>1</v>
      </c>
      <c r="I63" s="0" t="n">
        <v>100</v>
      </c>
      <c r="J63" s="0" t="n">
        <v>100</v>
      </c>
      <c r="K63" s="0" t="n">
        <v>100</v>
      </c>
      <c r="L63" s="0" t="n">
        <v>0.98</v>
      </c>
      <c r="M63" s="0" t="n">
        <v>0.98</v>
      </c>
      <c r="N63" s="0" t="n">
        <v>0.98</v>
      </c>
      <c r="O63" s="0" t="n">
        <v>4.36</v>
      </c>
      <c r="P63" s="0" t="n">
        <v>4.36</v>
      </c>
      <c r="Q63" s="0" t="n">
        <v>4.36</v>
      </c>
      <c r="R63" s="0" t="s">
        <v>26</v>
      </c>
      <c r="S63" s="0" t="s">
        <v>26</v>
      </c>
      <c r="T63" s="0" t="s">
        <v>26</v>
      </c>
      <c r="U63" s="0" t="s">
        <v>54</v>
      </c>
      <c r="V63" s="0" t="n">
        <f aca="false">(I63/100 + O63/5) / 2</f>
        <v>0.936</v>
      </c>
      <c r="W63" s="0" t="n">
        <f aca="false">(J63/100 + P63/5) / 2</f>
        <v>0.936</v>
      </c>
      <c r="X63" s="0" t="n">
        <f aca="false">(K63/100 + Q63/5) / 2</f>
        <v>0.936</v>
      </c>
    </row>
    <row r="64" customFormat="false" ht="12.8" hidden="false" customHeight="false" outlineLevel="0" collapsed="false">
      <c r="A64" s="0" t="s">
        <v>428</v>
      </c>
      <c r="B64" s="0" t="s">
        <v>429</v>
      </c>
      <c r="C64" s="0" t="s">
        <v>429</v>
      </c>
      <c r="D64" s="0" t="s">
        <v>430</v>
      </c>
      <c r="E64" s="0" t="s">
        <v>430</v>
      </c>
      <c r="F64" s="0" t="n">
        <v>1</v>
      </c>
      <c r="G64" s="0" t="n">
        <v>1</v>
      </c>
      <c r="H64" s="0" t="n">
        <v>1</v>
      </c>
      <c r="I64" s="0" t="n">
        <v>100</v>
      </c>
      <c r="J64" s="0" t="n">
        <v>100</v>
      </c>
      <c r="K64" s="0" t="n">
        <v>100</v>
      </c>
      <c r="L64" s="0" t="n">
        <v>0.99</v>
      </c>
      <c r="M64" s="0" t="n">
        <v>0.99</v>
      </c>
      <c r="N64" s="0" t="n">
        <v>0.99</v>
      </c>
      <c r="O64" s="0" t="n">
        <v>4.9</v>
      </c>
      <c r="P64" s="0" t="n">
        <v>4.9</v>
      </c>
      <c r="Q64" s="0" t="n">
        <v>4.9</v>
      </c>
      <c r="R64" s="0" t="s">
        <v>26</v>
      </c>
      <c r="S64" s="0" t="s">
        <v>26</v>
      </c>
      <c r="T64" s="0" t="s">
        <v>26</v>
      </c>
      <c r="U64" s="0" t="s">
        <v>54</v>
      </c>
      <c r="V64" s="0" t="n">
        <f aca="false">(I64/100 + O64/5) / 2</f>
        <v>0.99</v>
      </c>
      <c r="W64" s="0" t="n">
        <f aca="false">(J64/100 + P64/5) / 2</f>
        <v>0.99</v>
      </c>
      <c r="X64" s="0" t="n">
        <f aca="false">(K64/100 + Q64/5) / 2</f>
        <v>0.99</v>
      </c>
    </row>
    <row r="65" customFormat="false" ht="12.8" hidden="false" customHeight="false" outlineLevel="0" collapsed="false">
      <c r="A65" s="0" t="s">
        <v>431</v>
      </c>
      <c r="B65" s="0" t="s">
        <v>432</v>
      </c>
      <c r="C65" s="0" t="s">
        <v>433</v>
      </c>
      <c r="D65" s="0" t="s">
        <v>434</v>
      </c>
      <c r="E65" s="0" t="s">
        <v>435</v>
      </c>
      <c r="F65" s="0" t="n">
        <v>1</v>
      </c>
      <c r="G65" s="0" t="n">
        <v>1</v>
      </c>
      <c r="H65" s="0" t="n">
        <v>1</v>
      </c>
      <c r="I65" s="0" t="n">
        <v>78.25</v>
      </c>
      <c r="J65" s="0" t="n">
        <v>78.25</v>
      </c>
      <c r="K65" s="0" t="n">
        <v>69.98</v>
      </c>
      <c r="L65" s="0" t="n">
        <v>0.98</v>
      </c>
      <c r="M65" s="0" t="n">
        <v>0.98</v>
      </c>
      <c r="N65" s="0" t="n">
        <v>0.97</v>
      </c>
      <c r="O65" s="0" t="n">
        <v>4.64</v>
      </c>
      <c r="P65" s="0" t="n">
        <v>4.64</v>
      </c>
      <c r="Q65" s="0" t="n">
        <v>4.62</v>
      </c>
      <c r="R65" s="0" t="s">
        <v>436</v>
      </c>
      <c r="S65" s="0" t="s">
        <v>26</v>
      </c>
      <c r="T65" s="0" t="s">
        <v>26</v>
      </c>
      <c r="U65" s="0" t="s">
        <v>50</v>
      </c>
      <c r="V65" s="0" t="n">
        <f aca="false">(I65/100 + O65/5) / 2</f>
        <v>0.85525</v>
      </c>
      <c r="W65" s="0" t="n">
        <f aca="false">(J65/100 + P65/5) / 2</f>
        <v>0.85525</v>
      </c>
      <c r="X65" s="0" t="n">
        <f aca="false">(K65/100 + Q65/5) / 2</f>
        <v>0.8119</v>
      </c>
    </row>
    <row r="66" customFormat="false" ht="12.8" hidden="false" customHeight="false" outlineLevel="0" collapsed="false">
      <c r="A66" s="0" t="s">
        <v>437</v>
      </c>
      <c r="B66" s="0" t="s">
        <v>438</v>
      </c>
      <c r="C66" s="0" t="s">
        <v>438</v>
      </c>
      <c r="D66" s="0" t="s">
        <v>439</v>
      </c>
      <c r="E66" s="0" t="s">
        <v>440</v>
      </c>
      <c r="F66" s="0" t="n">
        <v>1</v>
      </c>
      <c r="G66" s="0" t="n">
        <v>1</v>
      </c>
      <c r="H66" s="0" t="n">
        <v>1</v>
      </c>
      <c r="I66" s="0" t="n">
        <v>100</v>
      </c>
      <c r="J66" s="0" t="n">
        <v>100</v>
      </c>
      <c r="K66" s="0" t="n">
        <v>26.65</v>
      </c>
      <c r="L66" s="0" t="n">
        <v>0.99</v>
      </c>
      <c r="M66" s="0" t="n">
        <v>0.99</v>
      </c>
      <c r="N66" s="0" t="n">
        <v>0.96</v>
      </c>
      <c r="O66" s="0" t="n">
        <v>5.1</v>
      </c>
      <c r="P66" s="0" t="n">
        <v>5.1</v>
      </c>
      <c r="Q66" s="0" t="n">
        <v>5.02</v>
      </c>
      <c r="R66" s="0" t="s">
        <v>441</v>
      </c>
      <c r="S66" s="0" t="s">
        <v>92</v>
      </c>
      <c r="T66" s="0" t="s">
        <v>26</v>
      </c>
      <c r="U66" s="0" t="s">
        <v>93</v>
      </c>
      <c r="V66" s="0" t="n">
        <f aca="false">(I66/100 + O66/5) / 2</f>
        <v>1.01</v>
      </c>
      <c r="W66" s="0" t="n">
        <f aca="false">(J66/100 + P66/5) / 2</f>
        <v>1.01</v>
      </c>
      <c r="X66" s="0" t="n">
        <f aca="false">(K66/100 + Q66/5) / 2</f>
        <v>0.63525</v>
      </c>
    </row>
    <row r="67" customFormat="false" ht="12.8" hidden="false" customHeight="false" outlineLevel="0" collapsed="false">
      <c r="A67" s="0" t="s">
        <v>442</v>
      </c>
      <c r="B67" s="0" t="s">
        <v>443</v>
      </c>
      <c r="C67" s="0" t="s">
        <v>443</v>
      </c>
      <c r="D67" s="0" t="s">
        <v>444</v>
      </c>
      <c r="E67" s="0" t="s">
        <v>445</v>
      </c>
      <c r="F67" s="0" t="n">
        <v>1</v>
      </c>
      <c r="G67" s="0" t="n">
        <v>1</v>
      </c>
      <c r="H67" s="0" t="n">
        <v>1</v>
      </c>
      <c r="I67" s="0" t="n">
        <v>100</v>
      </c>
      <c r="J67" s="0" t="n">
        <v>100</v>
      </c>
      <c r="K67" s="0" t="n">
        <v>57.67</v>
      </c>
      <c r="L67" s="0" t="n">
        <v>0.98</v>
      </c>
      <c r="M67" s="0" t="n">
        <v>0.98</v>
      </c>
      <c r="N67" s="0" t="n">
        <v>0.97</v>
      </c>
      <c r="O67" s="0" t="n">
        <v>4.88</v>
      </c>
      <c r="P67" s="0" t="n">
        <v>4.88</v>
      </c>
      <c r="Q67" s="0" t="n">
        <v>4.66</v>
      </c>
      <c r="R67" s="0" t="s">
        <v>446</v>
      </c>
      <c r="S67" s="0" t="s">
        <v>26</v>
      </c>
      <c r="T67" s="0" t="s">
        <v>27</v>
      </c>
      <c r="U67" s="0" t="s">
        <v>28</v>
      </c>
      <c r="V67" s="0" t="n">
        <f aca="false">(I67/100 + O67/5) / 2</f>
        <v>0.988</v>
      </c>
      <c r="W67" s="0" t="n">
        <f aca="false">(J67/100 + P67/5) / 2</f>
        <v>0.988</v>
      </c>
      <c r="X67" s="0" t="n">
        <f aca="false">(K67/100 + Q67/5) / 2</f>
        <v>0.75435</v>
      </c>
    </row>
    <row r="68" customFormat="false" ht="12.8" hidden="false" customHeight="false" outlineLevel="0" collapsed="false">
      <c r="A68" s="0" t="s">
        <v>447</v>
      </c>
      <c r="B68" s="0" t="s">
        <v>448</v>
      </c>
      <c r="C68" s="0" t="s">
        <v>449</v>
      </c>
      <c r="D68" s="0" t="s">
        <v>450</v>
      </c>
      <c r="E68" s="0" t="s">
        <v>451</v>
      </c>
      <c r="F68" s="0" t="n">
        <v>1</v>
      </c>
      <c r="G68" s="0" t="n">
        <v>1</v>
      </c>
      <c r="H68" s="0" t="n">
        <v>1</v>
      </c>
      <c r="I68" s="0" t="n">
        <v>43.47</v>
      </c>
      <c r="J68" s="0" t="n">
        <v>48.89</v>
      </c>
      <c r="K68" s="0" t="n">
        <v>43.47</v>
      </c>
      <c r="L68" s="0" t="n">
        <v>0.89</v>
      </c>
      <c r="M68" s="0" t="n">
        <v>0.92</v>
      </c>
      <c r="N68" s="0" t="n">
        <v>0.89</v>
      </c>
      <c r="O68" s="0" t="n">
        <v>4.74</v>
      </c>
      <c r="P68" s="0" t="n">
        <v>4.66</v>
      </c>
      <c r="Q68" s="0" t="n">
        <v>4.74</v>
      </c>
      <c r="R68" s="0" t="s">
        <v>452</v>
      </c>
      <c r="S68" s="0" t="s">
        <v>92</v>
      </c>
      <c r="T68" s="0" t="s">
        <v>26</v>
      </c>
      <c r="U68" s="0" t="s">
        <v>93</v>
      </c>
      <c r="V68" s="0" t="n">
        <f aca="false">(I68/100 + O68/5) / 2</f>
        <v>0.69135</v>
      </c>
      <c r="W68" s="0" t="n">
        <f aca="false">(J68/100 + P68/5) / 2</f>
        <v>0.71045</v>
      </c>
      <c r="X68" s="0" t="n">
        <f aca="false">(K68/100 + Q68/5) / 2</f>
        <v>0.69135</v>
      </c>
    </row>
    <row r="69" customFormat="false" ht="12.8" hidden="false" customHeight="false" outlineLevel="0" collapsed="false">
      <c r="A69" s="0" t="s">
        <v>453</v>
      </c>
      <c r="B69" s="0" t="s">
        <v>454</v>
      </c>
      <c r="C69" s="0" t="s">
        <v>455</v>
      </c>
      <c r="D69" s="0" t="s">
        <v>456</v>
      </c>
      <c r="E69" s="0" t="s">
        <v>456</v>
      </c>
      <c r="F69" s="0" t="n">
        <v>1</v>
      </c>
      <c r="G69" s="0" t="n">
        <v>1</v>
      </c>
      <c r="H69" s="0" t="n">
        <v>1</v>
      </c>
      <c r="I69" s="0" t="n">
        <v>79.41</v>
      </c>
      <c r="J69" s="0" t="n">
        <v>79.41</v>
      </c>
      <c r="K69" s="0" t="n">
        <v>79.41</v>
      </c>
      <c r="L69" s="0" t="n">
        <v>0.97</v>
      </c>
      <c r="M69" s="0" t="n">
        <v>0.97</v>
      </c>
      <c r="N69" s="0" t="n">
        <v>0.97</v>
      </c>
      <c r="O69" s="0" t="n">
        <v>4.8</v>
      </c>
      <c r="P69" s="0" t="n">
        <v>4.8</v>
      </c>
      <c r="Q69" s="0" t="n">
        <v>4.8</v>
      </c>
      <c r="R69" s="0" t="s">
        <v>26</v>
      </c>
      <c r="S69" s="0" t="s">
        <v>26</v>
      </c>
      <c r="T69" s="0" t="s">
        <v>26</v>
      </c>
      <c r="U69" s="0" t="s">
        <v>54</v>
      </c>
      <c r="V69" s="0" t="n">
        <f aca="false">(I69/100 + O69/5) / 2</f>
        <v>0.87705</v>
      </c>
      <c r="W69" s="0" t="n">
        <f aca="false">(J69/100 + P69/5) / 2</f>
        <v>0.87705</v>
      </c>
      <c r="X69" s="0" t="n">
        <f aca="false">(K69/100 + Q69/5) / 2</f>
        <v>0.87705</v>
      </c>
    </row>
    <row r="70" customFormat="false" ht="12.8" hidden="false" customHeight="false" outlineLevel="0" collapsed="false">
      <c r="A70" s="0" t="s">
        <v>457</v>
      </c>
      <c r="B70" s="0" t="s">
        <v>458</v>
      </c>
      <c r="C70" s="0" t="s">
        <v>458</v>
      </c>
      <c r="D70" s="0" t="s">
        <v>459</v>
      </c>
      <c r="E70" s="0" t="s">
        <v>459</v>
      </c>
      <c r="F70" s="0" t="n">
        <v>1</v>
      </c>
      <c r="G70" s="0" t="n">
        <v>1</v>
      </c>
      <c r="H70" s="0" t="n">
        <v>1</v>
      </c>
      <c r="I70" s="0" t="n">
        <v>100</v>
      </c>
      <c r="J70" s="0" t="n">
        <v>100</v>
      </c>
      <c r="K70" s="0" t="n">
        <v>100</v>
      </c>
      <c r="L70" s="0" t="n">
        <v>0.98</v>
      </c>
      <c r="M70" s="0" t="n">
        <v>0.98</v>
      </c>
      <c r="N70" s="0" t="n">
        <v>0.98</v>
      </c>
      <c r="O70" s="0" t="n">
        <v>4.62</v>
      </c>
      <c r="P70" s="0" t="n">
        <v>4.62</v>
      </c>
      <c r="Q70" s="0" t="n">
        <v>4.62</v>
      </c>
      <c r="R70" s="0" t="s">
        <v>26</v>
      </c>
      <c r="S70" s="0" t="s">
        <v>26</v>
      </c>
      <c r="T70" s="0" t="s">
        <v>26</v>
      </c>
      <c r="U70" s="0" t="s">
        <v>54</v>
      </c>
      <c r="V70" s="0" t="n">
        <f aca="false">(I70/100 + O70/5) / 2</f>
        <v>0.962</v>
      </c>
      <c r="W70" s="0" t="n">
        <f aca="false">(J70/100 + P70/5) / 2</f>
        <v>0.962</v>
      </c>
      <c r="X70" s="0" t="n">
        <f aca="false">(K70/100 + Q70/5) / 2</f>
        <v>0.962</v>
      </c>
    </row>
    <row r="71" customFormat="false" ht="12.8" hidden="false" customHeight="false" outlineLevel="0" collapsed="false">
      <c r="A71" s="0" t="s">
        <v>460</v>
      </c>
      <c r="B71" s="0" t="s">
        <v>461</v>
      </c>
      <c r="C71" s="0" t="s">
        <v>462</v>
      </c>
      <c r="D71" s="0" t="s">
        <v>463</v>
      </c>
      <c r="E71" s="0" t="s">
        <v>463</v>
      </c>
      <c r="F71" s="0" t="n">
        <v>1</v>
      </c>
      <c r="G71" s="0" t="n">
        <v>1</v>
      </c>
      <c r="H71" s="0" t="n">
        <v>1</v>
      </c>
      <c r="I71" s="0" t="n">
        <v>74.48</v>
      </c>
      <c r="J71" s="0" t="n">
        <v>74.48</v>
      </c>
      <c r="K71" s="0" t="n">
        <v>74.48</v>
      </c>
      <c r="L71" s="0" t="n">
        <v>0.97</v>
      </c>
      <c r="M71" s="0" t="n">
        <v>0.97</v>
      </c>
      <c r="N71" s="0" t="n">
        <v>0.97</v>
      </c>
      <c r="O71" s="0" t="n">
        <v>4.96</v>
      </c>
      <c r="P71" s="0" t="n">
        <v>4.96</v>
      </c>
      <c r="Q71" s="0" t="n">
        <v>4.96</v>
      </c>
      <c r="R71" s="0" t="s">
        <v>26</v>
      </c>
      <c r="S71" s="0" t="s">
        <v>26</v>
      </c>
      <c r="T71" s="0" t="s">
        <v>26</v>
      </c>
      <c r="U71" s="0" t="s">
        <v>54</v>
      </c>
      <c r="V71" s="0" t="n">
        <f aca="false">(I71/100 + O71/5) / 2</f>
        <v>0.8684</v>
      </c>
      <c r="W71" s="0" t="n">
        <f aca="false">(J71/100 + P71/5) / 2</f>
        <v>0.8684</v>
      </c>
      <c r="X71" s="0" t="n">
        <f aca="false">(K71/100 + Q71/5) / 2</f>
        <v>0.8684</v>
      </c>
    </row>
    <row r="72" customFormat="false" ht="12.8" hidden="false" customHeight="false" outlineLevel="0" collapsed="false">
      <c r="A72" s="0" t="s">
        <v>464</v>
      </c>
      <c r="B72" s="0" t="s">
        <v>465</v>
      </c>
      <c r="C72" s="0" t="s">
        <v>466</v>
      </c>
      <c r="D72" s="0" t="s">
        <v>467</v>
      </c>
      <c r="E72" s="0" t="s">
        <v>468</v>
      </c>
      <c r="F72" s="0" t="n">
        <v>1</v>
      </c>
      <c r="G72" s="0" t="n">
        <v>1</v>
      </c>
      <c r="H72" s="0" t="n">
        <v>1</v>
      </c>
      <c r="I72" s="0" t="n">
        <v>84.24</v>
      </c>
      <c r="J72" s="0" t="n">
        <v>84.24</v>
      </c>
      <c r="K72" s="0" t="n">
        <v>84.24</v>
      </c>
      <c r="L72" s="0" t="n">
        <v>0.97</v>
      </c>
      <c r="M72" s="0" t="n">
        <v>0.97</v>
      </c>
      <c r="N72" s="0" t="n">
        <v>0.96</v>
      </c>
      <c r="O72" s="0" t="n">
        <v>5.03</v>
      </c>
      <c r="P72" s="0" t="n">
        <v>5.03</v>
      </c>
      <c r="Q72" s="0" t="n">
        <v>4.84</v>
      </c>
      <c r="R72" s="0" t="s">
        <v>26</v>
      </c>
      <c r="S72" s="0" t="s">
        <v>26</v>
      </c>
      <c r="T72" s="0" t="s">
        <v>27</v>
      </c>
      <c r="U72" s="0" t="s">
        <v>209</v>
      </c>
      <c r="V72" s="0" t="n">
        <f aca="false">(I72/100 + O72/5) / 2</f>
        <v>0.9242</v>
      </c>
      <c r="W72" s="0" t="n">
        <f aca="false">(J72/100 + P72/5) / 2</f>
        <v>0.9242</v>
      </c>
      <c r="X72" s="0" t="n">
        <f aca="false">(K72/100 + Q72/5) / 2</f>
        <v>0.9052</v>
      </c>
    </row>
    <row r="73" customFormat="false" ht="12.8" hidden="false" customHeight="false" outlineLevel="0" collapsed="false">
      <c r="A73" s="0" t="s">
        <v>469</v>
      </c>
      <c r="B73" s="0" t="s">
        <v>470</v>
      </c>
      <c r="C73" s="0" t="s">
        <v>470</v>
      </c>
      <c r="D73" s="0" t="s">
        <v>471</v>
      </c>
      <c r="E73" s="0" t="s">
        <v>472</v>
      </c>
      <c r="F73" s="0" t="n">
        <v>1</v>
      </c>
      <c r="G73" s="0" t="n">
        <v>1</v>
      </c>
      <c r="H73" s="0" t="n">
        <v>1</v>
      </c>
      <c r="I73" s="0" t="n">
        <v>100</v>
      </c>
      <c r="J73" s="0" t="n">
        <v>100</v>
      </c>
      <c r="K73" s="0" t="n">
        <v>68.81</v>
      </c>
      <c r="L73" s="0" t="n">
        <v>0.97</v>
      </c>
      <c r="M73" s="0" t="n">
        <v>0.97</v>
      </c>
      <c r="N73" s="0" t="n">
        <v>0.95</v>
      </c>
      <c r="O73" s="0" t="n">
        <v>4.64</v>
      </c>
      <c r="P73" s="0" t="n">
        <v>4.64</v>
      </c>
      <c r="Q73" s="0" t="n">
        <v>3.62</v>
      </c>
      <c r="R73" s="0" t="s">
        <v>473</v>
      </c>
      <c r="S73" s="0" t="s">
        <v>26</v>
      </c>
      <c r="T73" s="0" t="s">
        <v>474</v>
      </c>
      <c r="U73" s="0" t="s">
        <v>28</v>
      </c>
      <c r="V73" s="0" t="n">
        <f aca="false">(I73/100 + O73/5) / 2</f>
        <v>0.964</v>
      </c>
      <c r="W73" s="0" t="n">
        <f aca="false">(J73/100 + P73/5) / 2</f>
        <v>0.964</v>
      </c>
      <c r="X73" s="0" t="n">
        <f aca="false">(K73/100 + Q73/5) / 2</f>
        <v>0.70605</v>
      </c>
    </row>
    <row r="74" customFormat="false" ht="12.8" hidden="false" customHeight="false" outlineLevel="0" collapsed="false">
      <c r="A74" s="0" t="s">
        <v>475</v>
      </c>
      <c r="B74" s="0" t="s">
        <v>476</v>
      </c>
      <c r="C74" s="0" t="s">
        <v>476</v>
      </c>
      <c r="D74" s="0" t="s">
        <v>477</v>
      </c>
      <c r="E74" s="0" t="s">
        <v>478</v>
      </c>
      <c r="F74" s="0" t="n">
        <v>1</v>
      </c>
      <c r="G74" s="0" t="n">
        <v>1</v>
      </c>
      <c r="H74" s="0" t="n">
        <v>1</v>
      </c>
      <c r="I74" s="0" t="n">
        <v>100</v>
      </c>
      <c r="J74" s="0" t="n">
        <v>100</v>
      </c>
      <c r="K74" s="0" t="n">
        <v>67.03</v>
      </c>
      <c r="L74" s="0" t="n">
        <v>0.98</v>
      </c>
      <c r="M74" s="0" t="n">
        <v>0.98</v>
      </c>
      <c r="N74" s="0" t="n">
        <v>0.96</v>
      </c>
      <c r="O74" s="0" t="n">
        <v>4.76</v>
      </c>
      <c r="P74" s="0" t="n">
        <v>4.76</v>
      </c>
      <c r="Q74" s="0" t="n">
        <v>4.52</v>
      </c>
      <c r="R74" s="0" t="s">
        <v>479</v>
      </c>
      <c r="S74" s="0" t="s">
        <v>26</v>
      </c>
      <c r="T74" s="0" t="s">
        <v>188</v>
      </c>
      <c r="U74" s="0" t="s">
        <v>28</v>
      </c>
      <c r="V74" s="0" t="n">
        <f aca="false">(I74/100 + O74/5) / 2</f>
        <v>0.976</v>
      </c>
      <c r="W74" s="0" t="n">
        <f aca="false">(J74/100 + P74/5) / 2</f>
        <v>0.976</v>
      </c>
      <c r="X74" s="0" t="n">
        <f aca="false">(K74/100 + Q74/5) / 2</f>
        <v>0.78715</v>
      </c>
    </row>
    <row r="75" customFormat="false" ht="12.8" hidden="false" customHeight="false" outlineLevel="0" collapsed="false">
      <c r="A75" s="0" t="s">
        <v>480</v>
      </c>
      <c r="B75" s="0" t="s">
        <v>481</v>
      </c>
      <c r="C75" s="0" t="s">
        <v>482</v>
      </c>
      <c r="D75" s="0" t="s">
        <v>483</v>
      </c>
      <c r="E75" s="0" t="s">
        <v>484</v>
      </c>
      <c r="F75" s="0" t="n">
        <v>1</v>
      </c>
      <c r="G75" s="0" t="n">
        <v>1</v>
      </c>
      <c r="H75" s="0" t="n">
        <v>0</v>
      </c>
      <c r="I75" s="0" t="n">
        <v>67.87</v>
      </c>
      <c r="J75" s="0" t="n">
        <v>33.93</v>
      </c>
      <c r="K75" s="0" t="n">
        <v>34.38</v>
      </c>
      <c r="L75" s="0" t="n">
        <v>0.83</v>
      </c>
      <c r="M75" s="0" t="n">
        <v>0.85</v>
      </c>
      <c r="N75" s="0" t="n">
        <v>0.82</v>
      </c>
      <c r="O75" s="0" t="n">
        <v>4.55</v>
      </c>
      <c r="P75" s="0" t="n">
        <v>4.51</v>
      </c>
      <c r="Q75" s="0" t="n">
        <v>4.25</v>
      </c>
      <c r="R75" s="0" t="s">
        <v>485</v>
      </c>
      <c r="S75" s="0" t="s">
        <v>486</v>
      </c>
      <c r="T75" s="0" t="s">
        <v>487</v>
      </c>
      <c r="U75" s="0" t="s">
        <v>36</v>
      </c>
      <c r="V75" s="0" t="n">
        <f aca="false">(I75/100 + O75/5) / 2</f>
        <v>0.79435</v>
      </c>
      <c r="W75" s="0" t="n">
        <f aca="false">(J75/100 + P75/5) / 2</f>
        <v>0.62065</v>
      </c>
      <c r="X75" s="0" t="n">
        <f aca="false">(K75/100 + Q75/5) / 2</f>
        <v>0.5969</v>
      </c>
    </row>
    <row r="76" customFormat="false" ht="12.8" hidden="false" customHeight="false" outlineLevel="0" collapsed="false">
      <c r="A76" s="0" t="s">
        <v>488</v>
      </c>
      <c r="B76" s="0" t="s">
        <v>489</v>
      </c>
      <c r="C76" s="0" t="s">
        <v>490</v>
      </c>
      <c r="D76" s="0" t="s">
        <v>491</v>
      </c>
      <c r="E76" s="0" t="s">
        <v>492</v>
      </c>
      <c r="F76" s="0" t="n">
        <v>1</v>
      </c>
      <c r="G76" s="0" t="n">
        <v>0</v>
      </c>
      <c r="H76" s="0" t="n">
        <v>1</v>
      </c>
      <c r="I76" s="0" t="n">
        <v>37.24</v>
      </c>
      <c r="J76" s="0" t="n">
        <v>15.31</v>
      </c>
      <c r="K76" s="0" t="n">
        <v>52.66</v>
      </c>
      <c r="L76" s="0" t="n">
        <v>0.79</v>
      </c>
      <c r="M76" s="0" t="n">
        <v>0.66</v>
      </c>
      <c r="N76" s="0" t="n">
        <v>0.81</v>
      </c>
      <c r="O76" s="0" t="n">
        <v>4.51</v>
      </c>
      <c r="P76" s="0" t="n">
        <v>3.96</v>
      </c>
      <c r="Q76" s="0" t="n">
        <v>4.57</v>
      </c>
      <c r="R76" s="0" t="s">
        <v>493</v>
      </c>
      <c r="S76" s="0" t="s">
        <v>494</v>
      </c>
      <c r="T76" s="0" t="s">
        <v>495</v>
      </c>
      <c r="U76" s="0" t="s">
        <v>36</v>
      </c>
      <c r="V76" s="0" t="n">
        <f aca="false">(I76/100 + O76/5) / 2</f>
        <v>0.6372</v>
      </c>
      <c r="W76" s="0" t="n">
        <f aca="false">(J76/100 + P76/5) / 2</f>
        <v>0.47255</v>
      </c>
      <c r="X76" s="0" t="n">
        <f aca="false">(K76/100 + Q76/5) / 2</f>
        <v>0.7203</v>
      </c>
    </row>
    <row r="77" customFormat="false" ht="12.8" hidden="false" customHeight="false" outlineLevel="0" collapsed="false">
      <c r="A77" s="0" t="s">
        <v>496</v>
      </c>
      <c r="B77" s="0" t="s">
        <v>497</v>
      </c>
      <c r="C77" s="0" t="s">
        <v>498</v>
      </c>
      <c r="D77" s="0" t="s">
        <v>499</v>
      </c>
      <c r="E77" s="0" t="s">
        <v>500</v>
      </c>
      <c r="F77" s="0" t="n">
        <v>1</v>
      </c>
      <c r="G77" s="0" t="n">
        <v>1</v>
      </c>
      <c r="H77" s="0" t="n">
        <v>0</v>
      </c>
      <c r="I77" s="0" t="n">
        <v>34.08</v>
      </c>
      <c r="J77" s="0" t="n">
        <v>34.08</v>
      </c>
      <c r="K77" s="0" t="n">
        <v>29.5</v>
      </c>
      <c r="L77" s="0" t="n">
        <v>0.9</v>
      </c>
      <c r="M77" s="0" t="n">
        <v>0.9</v>
      </c>
      <c r="N77" s="0" t="n">
        <v>0.95</v>
      </c>
      <c r="O77" s="0" t="n">
        <v>4.22</v>
      </c>
      <c r="P77" s="0" t="n">
        <v>4.22</v>
      </c>
      <c r="Q77" s="0" t="n">
        <v>4.16</v>
      </c>
      <c r="R77" s="0" t="s">
        <v>501</v>
      </c>
      <c r="S77" s="0" t="s">
        <v>502</v>
      </c>
      <c r="T77" s="0" t="s">
        <v>503</v>
      </c>
      <c r="U77" s="0" t="s">
        <v>36</v>
      </c>
      <c r="V77" s="0" t="n">
        <f aca="false">(I77/100 + O77/5) / 2</f>
        <v>0.5924</v>
      </c>
      <c r="W77" s="0" t="n">
        <f aca="false">(J77/100 + P77/5) / 2</f>
        <v>0.5924</v>
      </c>
      <c r="X77" s="0" t="n">
        <f aca="false">(K77/100 + Q77/5) / 2</f>
        <v>0.5635</v>
      </c>
    </row>
    <row r="78" customFormat="false" ht="12.8" hidden="false" customHeight="false" outlineLevel="0" collapsed="false">
      <c r="A78" s="0" t="s">
        <v>504</v>
      </c>
      <c r="B78" s="0" t="s">
        <v>505</v>
      </c>
      <c r="C78" s="0" t="s">
        <v>506</v>
      </c>
      <c r="D78" s="0" t="s">
        <v>507</v>
      </c>
      <c r="E78" s="0" t="s">
        <v>508</v>
      </c>
      <c r="F78" s="0" t="n">
        <v>1</v>
      </c>
      <c r="G78" s="0" t="n">
        <v>1</v>
      </c>
      <c r="H78" s="0" t="n">
        <v>1</v>
      </c>
      <c r="I78" s="0" t="n">
        <v>41.21</v>
      </c>
      <c r="J78" s="0" t="n">
        <v>49.2</v>
      </c>
      <c r="K78" s="0" t="n">
        <v>45.72</v>
      </c>
      <c r="L78" s="0" t="n">
        <v>0.86</v>
      </c>
      <c r="M78" s="0" t="n">
        <v>0.92</v>
      </c>
      <c r="N78" s="0" t="n">
        <v>0.88</v>
      </c>
      <c r="O78" s="0" t="n">
        <v>4.6</v>
      </c>
      <c r="P78" s="0" t="n">
        <v>4.56</v>
      </c>
      <c r="Q78" s="0" t="n">
        <v>4.6</v>
      </c>
      <c r="R78" s="0" t="s">
        <v>509</v>
      </c>
      <c r="S78" s="0" t="s">
        <v>510</v>
      </c>
      <c r="T78" s="0" t="s">
        <v>26</v>
      </c>
      <c r="U78" s="0" t="s">
        <v>93</v>
      </c>
      <c r="V78" s="0" t="n">
        <f aca="false">(I78/100 + O78/5) / 2</f>
        <v>0.66605</v>
      </c>
      <c r="W78" s="0" t="n">
        <f aca="false">(J78/100 + P78/5) / 2</f>
        <v>0.702</v>
      </c>
      <c r="X78" s="0" t="n">
        <f aca="false">(K78/100 + Q78/5) / 2</f>
        <v>0.6886</v>
      </c>
    </row>
    <row r="79" customFormat="false" ht="12.8" hidden="false" customHeight="false" outlineLevel="0" collapsed="false">
      <c r="A79" s="0" t="s">
        <v>511</v>
      </c>
      <c r="B79" s="0" t="s">
        <v>512</v>
      </c>
      <c r="C79" s="0" t="s">
        <v>513</v>
      </c>
      <c r="D79" s="0" t="s">
        <v>514</v>
      </c>
      <c r="E79" s="0" t="s">
        <v>514</v>
      </c>
      <c r="F79" s="0" t="n">
        <v>1</v>
      </c>
      <c r="G79" s="0" t="n">
        <v>1</v>
      </c>
      <c r="H79" s="0" t="n">
        <v>1</v>
      </c>
      <c r="I79" s="0" t="n">
        <v>69.65</v>
      </c>
      <c r="J79" s="0" t="n">
        <v>31.7</v>
      </c>
      <c r="K79" s="0" t="n">
        <v>31.7</v>
      </c>
      <c r="L79" s="0" t="n">
        <v>0.93</v>
      </c>
      <c r="M79" s="0" t="n">
        <v>0.91</v>
      </c>
      <c r="N79" s="0" t="n">
        <v>0.91</v>
      </c>
      <c r="O79" s="0" t="n">
        <v>4.78</v>
      </c>
      <c r="P79" s="0" t="n">
        <v>4.65</v>
      </c>
      <c r="Q79" s="0" t="n">
        <v>4.65</v>
      </c>
      <c r="R79" s="0" t="s">
        <v>515</v>
      </c>
      <c r="S79" s="0" t="s">
        <v>92</v>
      </c>
      <c r="T79" s="0" t="s">
        <v>92</v>
      </c>
      <c r="U79" s="0" t="s">
        <v>50</v>
      </c>
      <c r="V79" s="0" t="n">
        <f aca="false">(I79/100 + O79/5) / 2</f>
        <v>0.82625</v>
      </c>
      <c r="W79" s="0" t="n">
        <f aca="false">(J79/100 + P79/5) / 2</f>
        <v>0.6235</v>
      </c>
      <c r="X79" s="0" t="n">
        <f aca="false">(K79/100 + Q79/5) / 2</f>
        <v>0.6235</v>
      </c>
    </row>
    <row r="80" customFormat="false" ht="12.8" hidden="false" customHeight="false" outlineLevel="0" collapsed="false">
      <c r="A80" s="0" t="s">
        <v>516</v>
      </c>
      <c r="B80" s="0" t="s">
        <v>517</v>
      </c>
      <c r="C80" s="0" t="s">
        <v>518</v>
      </c>
      <c r="D80" s="0" t="s">
        <v>519</v>
      </c>
      <c r="E80" s="0" t="s">
        <v>520</v>
      </c>
      <c r="F80" s="0" t="n">
        <v>1</v>
      </c>
      <c r="G80" s="0" t="n">
        <v>1</v>
      </c>
      <c r="H80" s="0" t="n">
        <v>1</v>
      </c>
      <c r="I80" s="0" t="n">
        <v>62.63</v>
      </c>
      <c r="J80" s="0" t="n">
        <v>62.63</v>
      </c>
      <c r="K80" s="0" t="n">
        <v>41.69</v>
      </c>
      <c r="L80" s="0" t="n">
        <v>0.89</v>
      </c>
      <c r="M80" s="0" t="n">
        <v>0.89</v>
      </c>
      <c r="N80" s="0" t="n">
        <v>0.88</v>
      </c>
      <c r="O80" s="0" t="n">
        <v>4.71</v>
      </c>
      <c r="P80" s="0" t="n">
        <v>4.71</v>
      </c>
      <c r="Q80" s="0" t="n">
        <v>4.7</v>
      </c>
      <c r="R80" s="0" t="s">
        <v>521</v>
      </c>
      <c r="S80" s="0" t="s">
        <v>26</v>
      </c>
      <c r="T80" s="0" t="s">
        <v>26</v>
      </c>
      <c r="U80" s="0" t="s">
        <v>50</v>
      </c>
      <c r="V80" s="0" t="n">
        <f aca="false">(I80/100 + O80/5) / 2</f>
        <v>0.78415</v>
      </c>
      <c r="W80" s="0" t="n">
        <f aca="false">(J80/100 + P80/5) / 2</f>
        <v>0.78415</v>
      </c>
      <c r="X80" s="0" t="n">
        <f aca="false">(K80/100 + Q80/5) / 2</f>
        <v>0.67845</v>
      </c>
    </row>
    <row r="81" customFormat="false" ht="12.8" hidden="false" customHeight="false" outlineLevel="0" collapsed="false">
      <c r="A81" s="0" t="s">
        <v>522</v>
      </c>
      <c r="B81" s="0" t="s">
        <v>523</v>
      </c>
      <c r="C81" s="0" t="s">
        <v>523</v>
      </c>
      <c r="D81" s="0" t="s">
        <v>524</v>
      </c>
      <c r="E81" s="0" t="s">
        <v>525</v>
      </c>
      <c r="F81" s="0" t="n">
        <v>1</v>
      </c>
      <c r="G81" s="0" t="n">
        <v>1</v>
      </c>
      <c r="H81" s="0" t="n">
        <v>0</v>
      </c>
      <c r="I81" s="0" t="n">
        <v>100</v>
      </c>
      <c r="J81" s="0" t="n">
        <v>65.8</v>
      </c>
      <c r="K81" s="0" t="n">
        <v>5.48</v>
      </c>
      <c r="L81" s="0" t="n">
        <v>0.98</v>
      </c>
      <c r="M81" s="0" t="n">
        <v>0.96</v>
      </c>
      <c r="N81" s="0" t="n">
        <v>0.63</v>
      </c>
      <c r="O81" s="0" t="n">
        <v>4.92</v>
      </c>
      <c r="P81" s="0" t="n">
        <v>4.82</v>
      </c>
      <c r="Q81" s="0" t="n">
        <v>3.5</v>
      </c>
      <c r="R81" s="0" t="s">
        <v>526</v>
      </c>
      <c r="S81" s="0" t="s">
        <v>527</v>
      </c>
      <c r="T81" s="0" t="s">
        <v>528</v>
      </c>
      <c r="U81" s="0" t="s">
        <v>36</v>
      </c>
      <c r="V81" s="0" t="n">
        <f aca="false">(I81/100 + O81/5) / 2</f>
        <v>0.992</v>
      </c>
      <c r="W81" s="0" t="n">
        <f aca="false">(J81/100 + P81/5) / 2</f>
        <v>0.811</v>
      </c>
      <c r="X81" s="0" t="n">
        <f aca="false">(K81/100 + Q81/5) / 2</f>
        <v>0.3774</v>
      </c>
    </row>
    <row r="82" customFormat="false" ht="12.8" hidden="false" customHeight="false" outlineLevel="0" collapsed="false">
      <c r="A82" s="0" t="s">
        <v>529</v>
      </c>
      <c r="B82" s="0" t="s">
        <v>530</v>
      </c>
      <c r="C82" s="0" t="s">
        <v>531</v>
      </c>
      <c r="D82" s="0" t="s">
        <v>532</v>
      </c>
      <c r="E82" s="0" t="s">
        <v>532</v>
      </c>
      <c r="F82" s="0" t="n">
        <v>1</v>
      </c>
      <c r="G82" s="0" t="n">
        <v>1</v>
      </c>
      <c r="H82" s="0" t="n">
        <v>1</v>
      </c>
      <c r="I82" s="0" t="n">
        <v>42.73</v>
      </c>
      <c r="J82" s="0" t="n">
        <v>100</v>
      </c>
      <c r="K82" s="0" t="n">
        <v>100</v>
      </c>
      <c r="L82" s="0" t="n">
        <v>0.91</v>
      </c>
      <c r="M82" s="0" t="n">
        <v>0.99</v>
      </c>
      <c r="N82" s="0" t="n">
        <v>0.99</v>
      </c>
      <c r="O82" s="0" t="n">
        <v>4.34</v>
      </c>
      <c r="P82" s="0" t="n">
        <v>4.4</v>
      </c>
      <c r="Q82" s="0" t="n">
        <v>4.4</v>
      </c>
      <c r="R82" s="0" t="s">
        <v>533</v>
      </c>
      <c r="S82" s="0" t="s">
        <v>286</v>
      </c>
      <c r="T82" s="0" t="s">
        <v>26</v>
      </c>
      <c r="U82" s="0" t="s">
        <v>93</v>
      </c>
      <c r="V82" s="0" t="n">
        <f aca="false">(I82/100 + O82/5) / 2</f>
        <v>0.64765</v>
      </c>
      <c r="W82" s="0" t="n">
        <f aca="false">(J82/100 + P82/5) / 2</f>
        <v>0.94</v>
      </c>
      <c r="X82" s="0" t="n">
        <f aca="false">(K82/100 + Q82/5) / 2</f>
        <v>0.94</v>
      </c>
    </row>
    <row r="83" customFormat="false" ht="12.8" hidden="false" customHeight="false" outlineLevel="0" collapsed="false">
      <c r="A83" s="0" t="s">
        <v>534</v>
      </c>
      <c r="B83" s="0" t="s">
        <v>535</v>
      </c>
      <c r="C83" s="0" t="s">
        <v>536</v>
      </c>
      <c r="D83" s="0" t="s">
        <v>537</v>
      </c>
      <c r="E83" s="0" t="s">
        <v>538</v>
      </c>
      <c r="F83" s="0" t="n">
        <v>1</v>
      </c>
      <c r="G83" s="0" t="n">
        <v>0</v>
      </c>
      <c r="H83" s="0" t="n">
        <v>1</v>
      </c>
      <c r="I83" s="0" t="n">
        <v>12.7</v>
      </c>
      <c r="J83" s="0" t="n">
        <v>10.68</v>
      </c>
      <c r="K83" s="0" t="n">
        <v>12.7</v>
      </c>
      <c r="L83" s="0" t="n">
        <v>0.74</v>
      </c>
      <c r="M83" s="0" t="n">
        <v>0.64</v>
      </c>
      <c r="N83" s="0" t="n">
        <v>0.74</v>
      </c>
      <c r="O83" s="0" t="n">
        <v>3.98</v>
      </c>
      <c r="P83" s="0" t="n">
        <v>3.45</v>
      </c>
      <c r="Q83" s="0" t="n">
        <v>3.98</v>
      </c>
      <c r="R83" s="0" t="s">
        <v>539</v>
      </c>
      <c r="S83" s="0" t="s">
        <v>540</v>
      </c>
      <c r="T83" s="0" t="s">
        <v>541</v>
      </c>
      <c r="U83" s="0" t="s">
        <v>36</v>
      </c>
      <c r="V83" s="0" t="n">
        <f aca="false">(I83/100 + O83/5) / 2</f>
        <v>0.4615</v>
      </c>
      <c r="W83" s="0" t="n">
        <f aca="false">(J83/100 + P83/5) / 2</f>
        <v>0.3984</v>
      </c>
      <c r="X83" s="0" t="n">
        <f aca="false">(K83/100 + Q83/5) / 2</f>
        <v>0.4615</v>
      </c>
    </row>
    <row r="84" customFormat="false" ht="12.8" hidden="false" customHeight="false" outlineLevel="0" collapsed="false">
      <c r="A84" s="0" t="s">
        <v>542</v>
      </c>
      <c r="B84" s="0" t="s">
        <v>543</v>
      </c>
      <c r="C84" s="0" t="s">
        <v>544</v>
      </c>
      <c r="D84" s="0" t="s">
        <v>545</v>
      </c>
      <c r="E84" s="0" t="s">
        <v>546</v>
      </c>
      <c r="F84" s="0" t="n">
        <v>1</v>
      </c>
      <c r="G84" s="0" t="n">
        <v>1</v>
      </c>
      <c r="H84" s="0" t="n">
        <v>1</v>
      </c>
      <c r="I84" s="0" t="n">
        <v>26.27</v>
      </c>
      <c r="J84" s="0" t="n">
        <v>26.27</v>
      </c>
      <c r="K84" s="0" t="n">
        <v>7.81</v>
      </c>
      <c r="L84" s="0" t="n">
        <v>0.96</v>
      </c>
      <c r="M84" s="0" t="n">
        <v>0.96</v>
      </c>
      <c r="N84" s="0" t="n">
        <v>0.92</v>
      </c>
      <c r="O84" s="0" t="n">
        <v>4.71</v>
      </c>
      <c r="P84" s="0" t="n">
        <v>4.71</v>
      </c>
      <c r="Q84" s="0" t="n">
        <v>4.51</v>
      </c>
      <c r="R84" s="0" t="s">
        <v>547</v>
      </c>
      <c r="S84" s="0" t="s">
        <v>27</v>
      </c>
      <c r="T84" s="0" t="s">
        <v>27</v>
      </c>
      <c r="U84" s="0" t="s">
        <v>28</v>
      </c>
      <c r="V84" s="0" t="n">
        <f aca="false">(I84/100 + O84/5) / 2</f>
        <v>0.60235</v>
      </c>
      <c r="W84" s="0" t="n">
        <f aca="false">(J84/100 + P84/5) / 2</f>
        <v>0.60235</v>
      </c>
      <c r="X84" s="0" t="n">
        <f aca="false">(K84/100 + Q84/5) / 2</f>
        <v>0.49005</v>
      </c>
    </row>
    <row r="85" customFormat="false" ht="12.8" hidden="false" customHeight="false" outlineLevel="0" collapsed="false">
      <c r="A85" s="0" t="s">
        <v>548</v>
      </c>
      <c r="B85" s="0" t="s">
        <v>549</v>
      </c>
      <c r="C85" s="0" t="s">
        <v>549</v>
      </c>
      <c r="D85" s="0" t="s">
        <v>550</v>
      </c>
      <c r="E85" s="0" t="s">
        <v>551</v>
      </c>
      <c r="F85" s="0" t="n">
        <v>1</v>
      </c>
      <c r="G85" s="0" t="n">
        <v>0</v>
      </c>
      <c r="H85" s="0" t="n">
        <v>1</v>
      </c>
      <c r="I85" s="0" t="n">
        <v>100</v>
      </c>
      <c r="J85" s="0" t="n">
        <v>70.86</v>
      </c>
      <c r="K85" s="0" t="n">
        <v>26.8</v>
      </c>
      <c r="L85" s="0" t="n">
        <v>0.97</v>
      </c>
      <c r="M85" s="0" t="n">
        <v>0.94</v>
      </c>
      <c r="N85" s="0" t="n">
        <v>0.94</v>
      </c>
      <c r="O85" s="0" t="n">
        <v>5.06</v>
      </c>
      <c r="P85" s="0" t="n">
        <v>4.93</v>
      </c>
      <c r="Q85" s="0" t="n">
        <v>4.62</v>
      </c>
      <c r="R85" s="0" t="s">
        <v>552</v>
      </c>
      <c r="S85" s="0" t="s">
        <v>553</v>
      </c>
      <c r="T85" s="0" t="s">
        <v>554</v>
      </c>
      <c r="U85" s="0" t="s">
        <v>28</v>
      </c>
      <c r="V85" s="0" t="n">
        <f aca="false">(I85/100 + O85/5) / 2</f>
        <v>1.006</v>
      </c>
      <c r="W85" s="0" t="n">
        <f aca="false">(J85/100 + P85/5) / 2</f>
        <v>0.8473</v>
      </c>
      <c r="X85" s="0" t="n">
        <f aca="false">(K85/100 + Q85/5) / 2</f>
        <v>0.596</v>
      </c>
    </row>
    <row r="86" customFormat="false" ht="12.8" hidden="false" customHeight="false" outlineLevel="0" collapsed="false">
      <c r="A86" s="0" t="s">
        <v>555</v>
      </c>
      <c r="B86" s="0" t="s">
        <v>556</v>
      </c>
      <c r="C86" s="0" t="s">
        <v>557</v>
      </c>
      <c r="D86" s="0" t="s">
        <v>558</v>
      </c>
      <c r="E86" s="0" t="s">
        <v>559</v>
      </c>
      <c r="F86" s="0" t="n">
        <v>1</v>
      </c>
      <c r="G86" s="0" t="n">
        <v>0</v>
      </c>
      <c r="H86" s="0" t="n">
        <v>1</v>
      </c>
      <c r="I86" s="0" t="n">
        <v>59.69</v>
      </c>
      <c r="J86" s="0" t="n">
        <v>43.17</v>
      </c>
      <c r="K86" s="0" t="n">
        <v>32.47</v>
      </c>
      <c r="L86" s="0" t="n">
        <v>0.94</v>
      </c>
      <c r="M86" s="0" t="n">
        <v>0.9</v>
      </c>
      <c r="N86" s="0" t="n">
        <v>0.86</v>
      </c>
      <c r="O86" s="0" t="n">
        <v>4.63</v>
      </c>
      <c r="P86" s="0" t="n">
        <v>3.96</v>
      </c>
      <c r="Q86" s="0" t="n">
        <v>4.41</v>
      </c>
      <c r="R86" s="0" t="s">
        <v>560</v>
      </c>
      <c r="S86" s="0" t="s">
        <v>561</v>
      </c>
      <c r="T86" s="0" t="s">
        <v>562</v>
      </c>
      <c r="U86" s="0" t="s">
        <v>93</v>
      </c>
      <c r="V86" s="0" t="n">
        <f aca="false">(I86/100 + O86/5) / 2</f>
        <v>0.76145</v>
      </c>
      <c r="W86" s="0" t="n">
        <f aca="false">(J86/100 + P86/5) / 2</f>
        <v>0.61185</v>
      </c>
      <c r="X86" s="0" t="n">
        <f aca="false">(K86/100 + Q86/5) / 2</f>
        <v>0.60335</v>
      </c>
    </row>
    <row r="87" customFormat="false" ht="12.8" hidden="false" customHeight="false" outlineLevel="0" collapsed="false">
      <c r="A87" s="0" t="s">
        <v>563</v>
      </c>
      <c r="B87" s="0" t="s">
        <v>564</v>
      </c>
      <c r="C87" s="0" t="s">
        <v>564</v>
      </c>
      <c r="D87" s="0" t="s">
        <v>565</v>
      </c>
      <c r="E87" s="0" t="s">
        <v>565</v>
      </c>
      <c r="F87" s="0" t="n">
        <v>1</v>
      </c>
      <c r="G87" s="0" t="n">
        <v>1</v>
      </c>
      <c r="H87" s="0" t="n">
        <v>1</v>
      </c>
      <c r="I87" s="0" t="n">
        <v>100</v>
      </c>
      <c r="J87" s="0" t="n">
        <v>100</v>
      </c>
      <c r="K87" s="0" t="n">
        <v>100</v>
      </c>
      <c r="L87" s="0" t="n">
        <v>0.99</v>
      </c>
      <c r="M87" s="0" t="n">
        <v>0.99</v>
      </c>
      <c r="N87" s="0" t="n">
        <v>0.99</v>
      </c>
      <c r="O87" s="0" t="n">
        <v>4.36</v>
      </c>
      <c r="P87" s="0" t="n">
        <v>4.36</v>
      </c>
      <c r="Q87" s="0" t="n">
        <v>4.36</v>
      </c>
      <c r="R87" s="0" t="s">
        <v>26</v>
      </c>
      <c r="S87" s="0" t="s">
        <v>26</v>
      </c>
      <c r="T87" s="0" t="s">
        <v>26</v>
      </c>
      <c r="U87" s="0" t="s">
        <v>54</v>
      </c>
      <c r="V87" s="0" t="n">
        <f aca="false">(I87/100 + O87/5) / 2</f>
        <v>0.936</v>
      </c>
      <c r="W87" s="0" t="n">
        <f aca="false">(J87/100 + P87/5) / 2</f>
        <v>0.936</v>
      </c>
      <c r="X87" s="0" t="n">
        <f aca="false">(K87/100 + Q87/5) / 2</f>
        <v>0.936</v>
      </c>
    </row>
    <row r="88" customFormat="false" ht="12.8" hidden="false" customHeight="false" outlineLevel="0" collapsed="false">
      <c r="A88" s="0" t="s">
        <v>566</v>
      </c>
      <c r="B88" s="0" t="s">
        <v>567</v>
      </c>
      <c r="C88" s="0" t="s">
        <v>568</v>
      </c>
      <c r="D88" s="0" t="s">
        <v>569</v>
      </c>
      <c r="E88" s="0" t="s">
        <v>570</v>
      </c>
      <c r="F88" s="0" t="n">
        <v>1</v>
      </c>
      <c r="G88" s="0" t="n">
        <v>0</v>
      </c>
      <c r="H88" s="0" t="n">
        <v>1</v>
      </c>
      <c r="I88" s="0" t="n">
        <v>48.42</v>
      </c>
      <c r="J88" s="0" t="n">
        <v>59.23</v>
      </c>
      <c r="K88" s="0" t="n">
        <v>24.32</v>
      </c>
      <c r="L88" s="0" t="n">
        <v>0.89</v>
      </c>
      <c r="M88" s="0" t="n">
        <v>0.93</v>
      </c>
      <c r="N88" s="0" t="n">
        <v>0.89</v>
      </c>
      <c r="O88" s="0" t="n">
        <v>4.53</v>
      </c>
      <c r="P88" s="0" t="n">
        <v>4.49</v>
      </c>
      <c r="Q88" s="0" t="n">
        <v>4.5</v>
      </c>
      <c r="R88" s="0" t="s">
        <v>571</v>
      </c>
      <c r="S88" s="0" t="s">
        <v>572</v>
      </c>
      <c r="T88" s="0" t="s">
        <v>573</v>
      </c>
      <c r="U88" s="0" t="s">
        <v>93</v>
      </c>
      <c r="V88" s="0" t="n">
        <f aca="false">(I88/100 + O88/5) / 2</f>
        <v>0.6951</v>
      </c>
      <c r="W88" s="0" t="n">
        <f aca="false">(J88/100 + P88/5) / 2</f>
        <v>0.74515</v>
      </c>
      <c r="X88" s="0" t="n">
        <f aca="false">(K88/100 + Q88/5) / 2</f>
        <v>0.5716</v>
      </c>
    </row>
    <row r="89" customFormat="false" ht="12.8" hidden="false" customHeight="false" outlineLevel="0" collapsed="false">
      <c r="A89" s="0" t="s">
        <v>574</v>
      </c>
      <c r="B89" s="0" t="s">
        <v>575</v>
      </c>
      <c r="C89" s="0" t="s">
        <v>576</v>
      </c>
      <c r="D89" s="0" t="s">
        <v>577</v>
      </c>
      <c r="E89" s="0" t="s">
        <v>578</v>
      </c>
      <c r="F89" s="0" t="n">
        <v>1</v>
      </c>
      <c r="G89" s="0" t="n">
        <v>1</v>
      </c>
      <c r="H89" s="0" t="n">
        <v>1</v>
      </c>
      <c r="I89" s="0" t="n">
        <v>66.4</v>
      </c>
      <c r="J89" s="0" t="n">
        <v>100</v>
      </c>
      <c r="K89" s="0" t="n">
        <v>54.18</v>
      </c>
      <c r="L89" s="0" t="n">
        <v>0.98</v>
      </c>
      <c r="M89" s="0" t="n">
        <v>0.98</v>
      </c>
      <c r="N89" s="0" t="n">
        <v>0.97</v>
      </c>
      <c r="O89" s="0" t="n">
        <v>4.73</v>
      </c>
      <c r="P89" s="0" t="n">
        <v>4.76</v>
      </c>
      <c r="Q89" s="0" t="n">
        <v>4.75</v>
      </c>
      <c r="R89" s="0" t="s">
        <v>579</v>
      </c>
      <c r="S89" s="0" t="s">
        <v>26</v>
      </c>
      <c r="T89" s="0" t="s">
        <v>26</v>
      </c>
      <c r="U89" s="0" t="s">
        <v>50</v>
      </c>
      <c r="V89" s="0" t="n">
        <f aca="false">(I89/100 + O89/5) / 2</f>
        <v>0.805</v>
      </c>
      <c r="W89" s="0" t="n">
        <f aca="false">(J89/100 + P89/5) / 2</f>
        <v>0.976</v>
      </c>
      <c r="X89" s="0" t="n">
        <f aca="false">(K89/100 + Q89/5) / 2</f>
        <v>0.7459</v>
      </c>
    </row>
    <row r="90" customFormat="false" ht="12.8" hidden="false" customHeight="false" outlineLevel="0" collapsed="false">
      <c r="A90" s="0" t="s">
        <v>580</v>
      </c>
      <c r="B90" s="0" t="s">
        <v>581</v>
      </c>
      <c r="C90" s="0" t="s">
        <v>582</v>
      </c>
      <c r="D90" s="0" t="s">
        <v>583</v>
      </c>
      <c r="E90" s="0" t="s">
        <v>584</v>
      </c>
      <c r="F90" s="0" t="n">
        <v>1</v>
      </c>
      <c r="G90" s="0" t="n">
        <v>0</v>
      </c>
      <c r="H90" s="0" t="n">
        <v>1</v>
      </c>
      <c r="I90" s="0" t="n">
        <v>37.99</v>
      </c>
      <c r="J90" s="0" t="n">
        <v>10.4</v>
      </c>
      <c r="K90" s="0" t="n">
        <v>34.98</v>
      </c>
      <c r="L90" s="0" t="n">
        <v>0.95</v>
      </c>
      <c r="M90" s="0" t="n">
        <v>0.67</v>
      </c>
      <c r="N90" s="0" t="n">
        <v>0.94</v>
      </c>
      <c r="O90" s="0" t="n">
        <v>4.62</v>
      </c>
      <c r="P90" s="0" t="n">
        <v>3.22</v>
      </c>
      <c r="Q90" s="0" t="n">
        <v>4.47</v>
      </c>
      <c r="R90" s="0" t="s">
        <v>585</v>
      </c>
      <c r="S90" s="0" t="s">
        <v>586</v>
      </c>
      <c r="T90" s="0" t="s">
        <v>587</v>
      </c>
      <c r="U90" s="0" t="s">
        <v>36</v>
      </c>
      <c r="V90" s="0" t="n">
        <f aca="false">(I90/100 + O90/5) / 2</f>
        <v>0.65195</v>
      </c>
      <c r="W90" s="0" t="n">
        <f aca="false">(J90/100 + P90/5) / 2</f>
        <v>0.374</v>
      </c>
      <c r="X90" s="0" t="n">
        <f aca="false">(K90/100 + Q90/5) / 2</f>
        <v>0.6219</v>
      </c>
    </row>
    <row r="91" customFormat="false" ht="12.8" hidden="false" customHeight="false" outlineLevel="0" collapsed="false">
      <c r="A91" s="0" t="s">
        <v>588</v>
      </c>
      <c r="B91" s="0" t="s">
        <v>589</v>
      </c>
      <c r="C91" s="0" t="s">
        <v>589</v>
      </c>
      <c r="D91" s="0" t="s">
        <v>590</v>
      </c>
      <c r="E91" s="0" t="s">
        <v>590</v>
      </c>
      <c r="F91" s="0" t="n">
        <v>1</v>
      </c>
      <c r="G91" s="0" t="n">
        <v>1</v>
      </c>
      <c r="H91" s="0" t="n">
        <v>1</v>
      </c>
      <c r="I91" s="0" t="n">
        <v>100</v>
      </c>
      <c r="J91" s="0" t="n">
        <v>100</v>
      </c>
      <c r="K91" s="0" t="n">
        <v>100</v>
      </c>
      <c r="L91" s="0" t="n">
        <v>0.99</v>
      </c>
      <c r="M91" s="0" t="n">
        <v>0.99</v>
      </c>
      <c r="N91" s="0" t="n">
        <v>0.99</v>
      </c>
      <c r="O91" s="0" t="n">
        <v>4.13</v>
      </c>
      <c r="P91" s="0" t="n">
        <v>4.13</v>
      </c>
      <c r="Q91" s="0" t="n">
        <v>4.13</v>
      </c>
      <c r="R91" s="0" t="s">
        <v>26</v>
      </c>
      <c r="S91" s="0" t="s">
        <v>26</v>
      </c>
      <c r="T91" s="0" t="s">
        <v>26</v>
      </c>
      <c r="U91" s="0" t="s">
        <v>54</v>
      </c>
      <c r="V91" s="0" t="n">
        <f aca="false">(I91/100 + O91/5) / 2</f>
        <v>0.913</v>
      </c>
      <c r="W91" s="0" t="n">
        <f aca="false">(J91/100 + P91/5) / 2</f>
        <v>0.913</v>
      </c>
      <c r="X91" s="0" t="n">
        <f aca="false">(K91/100 + Q91/5) / 2</f>
        <v>0.913</v>
      </c>
    </row>
    <row r="92" customFormat="false" ht="12.8" hidden="false" customHeight="false" outlineLevel="0" collapsed="false">
      <c r="A92" s="0" t="s">
        <v>591</v>
      </c>
      <c r="B92" s="0" t="s">
        <v>592</v>
      </c>
      <c r="C92" s="0" t="s">
        <v>593</v>
      </c>
      <c r="D92" s="0" t="s">
        <v>594</v>
      </c>
      <c r="E92" s="0" t="s">
        <v>594</v>
      </c>
      <c r="F92" s="0" t="n">
        <v>1</v>
      </c>
      <c r="G92" s="0" t="n">
        <v>1</v>
      </c>
      <c r="H92" s="0" t="n">
        <v>1</v>
      </c>
      <c r="I92" s="0" t="n">
        <v>70.17</v>
      </c>
      <c r="J92" s="0" t="n">
        <v>70.17</v>
      </c>
      <c r="K92" s="0" t="n">
        <v>70.17</v>
      </c>
      <c r="L92" s="0" t="n">
        <v>0.95</v>
      </c>
      <c r="M92" s="0" t="n">
        <v>0.95</v>
      </c>
      <c r="N92" s="0" t="n">
        <v>0.95</v>
      </c>
      <c r="O92" s="0" t="n">
        <v>4.66</v>
      </c>
      <c r="P92" s="0" t="n">
        <v>4.66</v>
      </c>
      <c r="Q92" s="0" t="n">
        <v>4.66</v>
      </c>
      <c r="R92" s="0" t="s">
        <v>26</v>
      </c>
      <c r="S92" s="0" t="s">
        <v>26</v>
      </c>
      <c r="T92" s="0" t="s">
        <v>26</v>
      </c>
      <c r="U92" s="0" t="s">
        <v>54</v>
      </c>
      <c r="V92" s="0" t="n">
        <f aca="false">(I92/100 + O92/5) / 2</f>
        <v>0.81685</v>
      </c>
      <c r="W92" s="0" t="n">
        <f aca="false">(J92/100 + P92/5) / 2</f>
        <v>0.81685</v>
      </c>
      <c r="X92" s="0" t="n">
        <f aca="false">(K92/100 + Q92/5) / 2</f>
        <v>0.81685</v>
      </c>
    </row>
    <row r="93" customFormat="false" ht="12.8" hidden="false" customHeight="false" outlineLevel="0" collapsed="false">
      <c r="A93" s="0" t="s">
        <v>595</v>
      </c>
      <c r="B93" s="0" t="s">
        <v>596</v>
      </c>
      <c r="C93" s="0" t="s">
        <v>597</v>
      </c>
      <c r="D93" s="0" t="s">
        <v>598</v>
      </c>
      <c r="E93" s="0" t="s">
        <v>599</v>
      </c>
      <c r="F93" s="0" t="n">
        <v>1</v>
      </c>
      <c r="G93" s="0" t="n">
        <v>1</v>
      </c>
      <c r="H93" s="0" t="n">
        <v>1</v>
      </c>
      <c r="I93" s="0" t="n">
        <v>55.69</v>
      </c>
      <c r="J93" s="0" t="n">
        <v>55.69</v>
      </c>
      <c r="K93" s="0" t="n">
        <v>62.98</v>
      </c>
      <c r="L93" s="0" t="n">
        <v>0.77</v>
      </c>
      <c r="M93" s="0" t="n">
        <v>0.8</v>
      </c>
      <c r="N93" s="0" t="n">
        <v>0.82</v>
      </c>
      <c r="O93" s="0" t="n">
        <v>4.79</v>
      </c>
      <c r="P93" s="0" t="n">
        <v>4.72</v>
      </c>
      <c r="Q93" s="0" t="n">
        <v>4.79</v>
      </c>
      <c r="R93" s="0" t="s">
        <v>600</v>
      </c>
      <c r="S93" s="0" t="s">
        <v>188</v>
      </c>
      <c r="T93" s="0" t="s">
        <v>26</v>
      </c>
      <c r="U93" s="0" t="s">
        <v>93</v>
      </c>
      <c r="V93" s="0" t="n">
        <f aca="false">(I93/100 + O93/5) / 2</f>
        <v>0.75745</v>
      </c>
      <c r="W93" s="0" t="n">
        <f aca="false">(J93/100 + P93/5) / 2</f>
        <v>0.75045</v>
      </c>
      <c r="X93" s="0" t="n">
        <f aca="false">(K93/100 + Q93/5) / 2</f>
        <v>0.7939</v>
      </c>
    </row>
    <row r="94" customFormat="false" ht="12.8" hidden="false" customHeight="false" outlineLevel="0" collapsed="false">
      <c r="A94" s="0" t="s">
        <v>601</v>
      </c>
      <c r="B94" s="0" t="s">
        <v>602</v>
      </c>
      <c r="C94" s="0" t="s">
        <v>603</v>
      </c>
      <c r="D94" s="0" t="s">
        <v>604</v>
      </c>
      <c r="E94" s="0" t="s">
        <v>605</v>
      </c>
      <c r="F94" s="0" t="n">
        <v>1</v>
      </c>
      <c r="G94" s="0" t="n">
        <v>1</v>
      </c>
      <c r="H94" s="0" t="n">
        <v>1</v>
      </c>
      <c r="I94" s="0" t="n">
        <v>58.14</v>
      </c>
      <c r="J94" s="0" t="n">
        <v>14.76</v>
      </c>
      <c r="K94" s="0" t="n">
        <v>16.88</v>
      </c>
      <c r="L94" s="0" t="n">
        <v>0.92</v>
      </c>
      <c r="M94" s="0" t="n">
        <v>0.7</v>
      </c>
      <c r="N94" s="0" t="n">
        <v>0.76</v>
      </c>
      <c r="O94" s="0" t="n">
        <v>4.35</v>
      </c>
      <c r="P94" s="0" t="n">
        <v>3.32</v>
      </c>
      <c r="Q94" s="0" t="n">
        <v>4.19</v>
      </c>
      <c r="R94" s="0" t="s">
        <v>606</v>
      </c>
      <c r="S94" s="0" t="s">
        <v>607</v>
      </c>
      <c r="T94" s="0" t="s">
        <v>608</v>
      </c>
      <c r="U94" s="0" t="s">
        <v>93</v>
      </c>
      <c r="V94" s="0" t="n">
        <f aca="false">(I94/100 + O94/5) / 2</f>
        <v>0.7257</v>
      </c>
      <c r="W94" s="0" t="n">
        <f aca="false">(J94/100 + P94/5) / 2</f>
        <v>0.4058</v>
      </c>
      <c r="X94" s="0" t="n">
        <f aca="false">(K94/100 + Q94/5) / 2</f>
        <v>0.5034</v>
      </c>
    </row>
    <row r="95" customFormat="false" ht="12.8" hidden="false" customHeight="false" outlineLevel="0" collapsed="false">
      <c r="A95" s="0" t="s">
        <v>609</v>
      </c>
      <c r="B95" s="0" t="s">
        <v>610</v>
      </c>
      <c r="C95" s="0" t="s">
        <v>611</v>
      </c>
      <c r="D95" s="0" t="s">
        <v>612</v>
      </c>
      <c r="E95" s="0" t="s">
        <v>613</v>
      </c>
      <c r="F95" s="0" t="n">
        <v>0</v>
      </c>
      <c r="G95" s="0" t="n">
        <v>0</v>
      </c>
      <c r="H95" s="0" t="n">
        <v>0</v>
      </c>
      <c r="I95" s="0" t="n">
        <v>80.71</v>
      </c>
      <c r="J95" s="0" t="n">
        <v>72.93</v>
      </c>
      <c r="K95" s="0" t="n">
        <v>80.71</v>
      </c>
      <c r="L95" s="0" t="n">
        <v>0.94</v>
      </c>
      <c r="M95" s="0" t="n">
        <v>0.93</v>
      </c>
      <c r="N95" s="0" t="n">
        <v>0.94</v>
      </c>
      <c r="O95" s="0" t="n">
        <v>4.12</v>
      </c>
      <c r="P95" s="0" t="n">
        <v>4.21</v>
      </c>
      <c r="Q95" s="0" t="n">
        <v>4.12</v>
      </c>
      <c r="R95" s="0" t="s">
        <v>378</v>
      </c>
      <c r="S95" s="0" t="s">
        <v>378</v>
      </c>
      <c r="T95" s="0" t="s">
        <v>378</v>
      </c>
      <c r="U95" s="0" t="s">
        <v>54</v>
      </c>
      <c r="V95" s="0" t="n">
        <f aca="false">(I95/100 + O95/5) / 2</f>
        <v>0.81555</v>
      </c>
      <c r="W95" s="0" t="n">
        <f aca="false">(J95/100 + P95/5) / 2</f>
        <v>0.78565</v>
      </c>
      <c r="X95" s="0" t="n">
        <f aca="false">(K95/100 + Q95/5) / 2</f>
        <v>0.81555</v>
      </c>
    </row>
    <row r="96" customFormat="false" ht="12.8" hidden="false" customHeight="false" outlineLevel="0" collapsed="false">
      <c r="A96" s="0" t="s">
        <v>614</v>
      </c>
      <c r="B96" s="0" t="s">
        <v>615</v>
      </c>
      <c r="C96" s="0" t="s">
        <v>615</v>
      </c>
      <c r="D96" s="0" t="s">
        <v>616</v>
      </c>
      <c r="E96" s="0" t="s">
        <v>617</v>
      </c>
      <c r="F96" s="0" t="n">
        <v>1</v>
      </c>
      <c r="G96" s="0" t="n">
        <v>0</v>
      </c>
      <c r="H96" s="0" t="n">
        <v>1</v>
      </c>
      <c r="I96" s="0" t="n">
        <v>100</v>
      </c>
      <c r="J96" s="0" t="n">
        <v>62.63</v>
      </c>
      <c r="K96" s="0" t="n">
        <v>47.44</v>
      </c>
      <c r="L96" s="0" t="n">
        <v>0.98</v>
      </c>
      <c r="M96" s="0" t="n">
        <v>0.93</v>
      </c>
      <c r="N96" s="0" t="n">
        <v>0.97</v>
      </c>
      <c r="O96" s="0" t="n">
        <v>4.99</v>
      </c>
      <c r="P96" s="0" t="n">
        <v>4.6</v>
      </c>
      <c r="Q96" s="0" t="n">
        <v>4.9</v>
      </c>
      <c r="R96" s="0" t="s">
        <v>618</v>
      </c>
      <c r="S96" s="0" t="s">
        <v>619</v>
      </c>
      <c r="T96" s="0" t="s">
        <v>620</v>
      </c>
      <c r="U96" s="0" t="s">
        <v>93</v>
      </c>
      <c r="V96" s="0" t="n">
        <f aca="false">(I96/100 + O96/5) / 2</f>
        <v>0.999</v>
      </c>
      <c r="W96" s="0" t="n">
        <f aca="false">(J96/100 + P96/5) / 2</f>
        <v>0.77315</v>
      </c>
      <c r="X96" s="0" t="n">
        <f aca="false">(K96/100 + Q96/5) / 2</f>
        <v>0.7272</v>
      </c>
    </row>
    <row r="97" customFormat="false" ht="12.8" hidden="false" customHeight="false" outlineLevel="0" collapsed="false">
      <c r="A97" s="0" t="s">
        <v>621</v>
      </c>
      <c r="B97" s="0" t="s">
        <v>622</v>
      </c>
      <c r="C97" s="0" t="s">
        <v>623</v>
      </c>
      <c r="D97" s="0" t="s">
        <v>624</v>
      </c>
      <c r="E97" s="0" t="s">
        <v>625</v>
      </c>
      <c r="F97" s="0" t="n">
        <v>1</v>
      </c>
      <c r="G97" s="0" t="n">
        <v>1</v>
      </c>
      <c r="H97" s="0" t="n">
        <v>1</v>
      </c>
      <c r="I97" s="0" t="n">
        <v>66.87</v>
      </c>
      <c r="J97" s="0" t="n">
        <v>66.87</v>
      </c>
      <c r="K97" s="0" t="n">
        <v>14.79</v>
      </c>
      <c r="L97" s="0" t="n">
        <v>0.95</v>
      </c>
      <c r="M97" s="0" t="n">
        <v>0.95</v>
      </c>
      <c r="N97" s="0" t="n">
        <v>0.9</v>
      </c>
      <c r="O97" s="0" t="n">
        <v>4.4</v>
      </c>
      <c r="P97" s="0" t="n">
        <v>4.4</v>
      </c>
      <c r="Q97" s="0" t="n">
        <v>4.29</v>
      </c>
      <c r="R97" s="0" t="s">
        <v>626</v>
      </c>
      <c r="S97" s="0" t="s">
        <v>188</v>
      </c>
      <c r="T97" s="0" t="s">
        <v>92</v>
      </c>
      <c r="U97" s="0" t="s">
        <v>93</v>
      </c>
      <c r="V97" s="0" t="n">
        <f aca="false">(I97/100 + O97/5) / 2</f>
        <v>0.77435</v>
      </c>
      <c r="W97" s="0" t="n">
        <f aca="false">(J97/100 + P97/5) / 2</f>
        <v>0.77435</v>
      </c>
      <c r="X97" s="0" t="n">
        <f aca="false">(K97/100 + Q97/5) / 2</f>
        <v>0.50295</v>
      </c>
    </row>
    <row r="98" customFormat="false" ht="12.8" hidden="false" customHeight="false" outlineLevel="0" collapsed="false">
      <c r="A98" s="0" t="s">
        <v>627</v>
      </c>
      <c r="B98" s="0" t="s">
        <v>628</v>
      </c>
      <c r="C98" s="0" t="s">
        <v>629</v>
      </c>
      <c r="D98" s="0" t="s">
        <v>630</v>
      </c>
      <c r="E98" s="0" t="s">
        <v>631</v>
      </c>
      <c r="F98" s="0" t="n">
        <v>0</v>
      </c>
      <c r="G98" s="0" t="n">
        <v>1</v>
      </c>
      <c r="H98" s="0" t="n">
        <v>0</v>
      </c>
      <c r="I98" s="0" t="n">
        <v>10.68</v>
      </c>
      <c r="J98" s="0" t="n">
        <v>19.3</v>
      </c>
      <c r="K98" s="0" t="n">
        <v>9.65</v>
      </c>
      <c r="L98" s="0" t="n">
        <v>0.5</v>
      </c>
      <c r="M98" s="0" t="n">
        <v>0.67</v>
      </c>
      <c r="N98" s="0" t="n">
        <v>0.54</v>
      </c>
      <c r="O98" s="0" t="n">
        <v>3.6</v>
      </c>
      <c r="P98" s="0" t="n">
        <v>3.67</v>
      </c>
      <c r="Q98" s="0" t="n">
        <v>3.26</v>
      </c>
      <c r="R98" s="0" t="s">
        <v>632</v>
      </c>
      <c r="S98" s="0" t="s">
        <v>633</v>
      </c>
      <c r="T98" s="0" t="s">
        <v>634</v>
      </c>
      <c r="U98" s="0" t="s">
        <v>36</v>
      </c>
      <c r="V98" s="0" t="n">
        <f aca="false">(I98/100 + O98/5) / 2</f>
        <v>0.4134</v>
      </c>
      <c r="W98" s="0" t="n">
        <f aca="false">(J98/100 + P98/5) / 2</f>
        <v>0.4635</v>
      </c>
      <c r="X98" s="0" t="n">
        <f aca="false">(K98/100 + Q98/5) / 2</f>
        <v>0.37425</v>
      </c>
    </row>
    <row r="99" customFormat="false" ht="12.8" hidden="false" customHeight="false" outlineLevel="0" collapsed="false">
      <c r="A99" s="0" t="s">
        <v>635</v>
      </c>
      <c r="B99" s="0" t="s">
        <v>636</v>
      </c>
      <c r="C99" s="0" t="s">
        <v>637</v>
      </c>
      <c r="D99" s="0" t="s">
        <v>638</v>
      </c>
      <c r="E99" s="0" t="s">
        <v>639</v>
      </c>
      <c r="F99" s="0" t="n">
        <v>1</v>
      </c>
      <c r="G99" s="0" t="n">
        <v>0</v>
      </c>
      <c r="H99" s="0" t="n">
        <v>1</v>
      </c>
      <c r="I99" s="0" t="n">
        <v>81.97</v>
      </c>
      <c r="J99" s="0" t="n">
        <v>69.85</v>
      </c>
      <c r="K99" s="0" t="n">
        <v>81.97</v>
      </c>
      <c r="L99" s="0" t="n">
        <v>0.97</v>
      </c>
      <c r="M99" s="0" t="n">
        <v>0.94</v>
      </c>
      <c r="N99" s="0" t="n">
        <v>0.97</v>
      </c>
      <c r="O99" s="0" t="n">
        <v>4.86</v>
      </c>
      <c r="P99" s="0" t="n">
        <v>4.78</v>
      </c>
      <c r="Q99" s="0" t="n">
        <v>4.86</v>
      </c>
      <c r="R99" s="0" t="s">
        <v>640</v>
      </c>
      <c r="S99" s="0" t="s">
        <v>641</v>
      </c>
      <c r="T99" s="0" t="s">
        <v>642</v>
      </c>
      <c r="U99" s="0" t="s">
        <v>36</v>
      </c>
      <c r="V99" s="0" t="n">
        <f aca="false">(I99/100 + O99/5) / 2</f>
        <v>0.89585</v>
      </c>
      <c r="W99" s="0" t="n">
        <f aca="false">(J99/100 + P99/5) / 2</f>
        <v>0.82725</v>
      </c>
      <c r="X99" s="0" t="n">
        <f aca="false">(K99/100 + Q99/5) / 2</f>
        <v>0.89585</v>
      </c>
    </row>
    <row r="100" customFormat="false" ht="12.8" hidden="false" customHeight="false" outlineLevel="0" collapsed="false">
      <c r="A100" s="0" t="s">
        <v>643</v>
      </c>
      <c r="B100" s="0" t="s">
        <v>644</v>
      </c>
      <c r="C100" s="0" t="s">
        <v>644</v>
      </c>
      <c r="D100" s="0" t="s">
        <v>645</v>
      </c>
      <c r="E100" s="0" t="s">
        <v>646</v>
      </c>
      <c r="F100" s="0" t="n">
        <v>1</v>
      </c>
      <c r="G100" s="0" t="n">
        <v>1</v>
      </c>
      <c r="H100" s="0" t="n">
        <v>1</v>
      </c>
      <c r="I100" s="0" t="n">
        <v>100</v>
      </c>
      <c r="J100" s="0" t="n">
        <v>100</v>
      </c>
      <c r="K100" s="0" t="n">
        <v>72.6</v>
      </c>
      <c r="L100" s="0" t="n">
        <v>0.98</v>
      </c>
      <c r="M100" s="0" t="n">
        <v>0.98</v>
      </c>
      <c r="N100" s="0" t="n">
        <v>0.94</v>
      </c>
      <c r="O100" s="0" t="n">
        <v>4.59</v>
      </c>
      <c r="P100" s="0" t="n">
        <v>4.59</v>
      </c>
      <c r="Q100" s="0" t="n">
        <v>4.57</v>
      </c>
      <c r="R100" s="0" t="s">
        <v>647</v>
      </c>
      <c r="S100" s="0" t="s">
        <v>27</v>
      </c>
      <c r="T100" s="0" t="s">
        <v>26</v>
      </c>
      <c r="U100" s="0" t="s">
        <v>93</v>
      </c>
      <c r="V100" s="0" t="n">
        <f aca="false">(I100/100 + O100/5) / 2</f>
        <v>0.959</v>
      </c>
      <c r="W100" s="0" t="n">
        <f aca="false">(J100/100 + P100/5) / 2</f>
        <v>0.959</v>
      </c>
      <c r="X100" s="0" t="n">
        <f aca="false">(K100/100 + Q100/5) / 2</f>
        <v>0.82</v>
      </c>
    </row>
    <row r="101" customFormat="false" ht="12.8" hidden="false" customHeight="false" outlineLevel="0" collapsed="false">
      <c r="A101" s="0" t="s">
        <v>648</v>
      </c>
      <c r="B101" s="0" t="s">
        <v>649</v>
      </c>
      <c r="C101" s="0" t="s">
        <v>650</v>
      </c>
      <c r="D101" s="0" t="s">
        <v>651</v>
      </c>
      <c r="E101" s="0" t="s">
        <v>652</v>
      </c>
      <c r="F101" s="0" t="n">
        <v>1</v>
      </c>
      <c r="G101" s="0" t="n">
        <v>0</v>
      </c>
      <c r="H101" s="0" t="n">
        <v>1</v>
      </c>
      <c r="I101" s="0" t="n">
        <v>13.83</v>
      </c>
      <c r="J101" s="0" t="n">
        <v>68.04</v>
      </c>
      <c r="K101" s="0" t="n">
        <v>13.83</v>
      </c>
      <c r="L101" s="0" t="n">
        <v>0.7</v>
      </c>
      <c r="M101" s="0" t="n">
        <v>0.73</v>
      </c>
      <c r="N101" s="0" t="n">
        <v>0.7</v>
      </c>
      <c r="O101" s="0" t="n">
        <v>3.95</v>
      </c>
      <c r="P101" s="0" t="n">
        <v>4.31</v>
      </c>
      <c r="Q101" s="0" t="n">
        <v>3.95</v>
      </c>
      <c r="R101" s="0" t="s">
        <v>653</v>
      </c>
      <c r="S101" s="0" t="s">
        <v>654</v>
      </c>
      <c r="T101" s="0" t="s">
        <v>655</v>
      </c>
      <c r="U101" s="0" t="s">
        <v>28</v>
      </c>
      <c r="V101" s="0" t="n">
        <f aca="false">(I101/100 + O101/5) / 2</f>
        <v>0.46415</v>
      </c>
      <c r="W101" s="0" t="n">
        <f aca="false">(J101/100 + P101/5) / 2</f>
        <v>0.7712</v>
      </c>
      <c r="X101" s="0" t="n">
        <f aca="false">(K101/100 + Q101/5) / 2</f>
        <v>0.46415</v>
      </c>
    </row>
    <row r="102" customFormat="false" ht="12.8" hidden="false" customHeight="false" outlineLevel="0" collapsed="false">
      <c r="A102" s="0" t="s">
        <v>656</v>
      </c>
      <c r="B102" s="0" t="s">
        <v>657</v>
      </c>
      <c r="C102" s="0" t="s">
        <v>658</v>
      </c>
      <c r="D102" s="0" t="s">
        <v>659</v>
      </c>
      <c r="E102" s="0" t="s">
        <v>660</v>
      </c>
      <c r="F102" s="0" t="n">
        <v>1</v>
      </c>
      <c r="G102" s="0" t="n">
        <v>1</v>
      </c>
      <c r="H102" s="0" t="n">
        <v>1</v>
      </c>
      <c r="I102" s="0" t="n">
        <v>45.47</v>
      </c>
      <c r="J102" s="0" t="n">
        <v>42.31</v>
      </c>
      <c r="K102" s="0" t="n">
        <v>38.5</v>
      </c>
      <c r="L102" s="0" t="n">
        <v>0.82</v>
      </c>
      <c r="M102" s="0" t="n">
        <v>0.81</v>
      </c>
      <c r="N102" s="0" t="n">
        <v>0.86</v>
      </c>
      <c r="O102" s="0" t="n">
        <v>4.31</v>
      </c>
      <c r="P102" s="0" t="n">
        <v>4.37</v>
      </c>
      <c r="Q102" s="0" t="n">
        <v>4.18</v>
      </c>
      <c r="R102" s="0" t="s">
        <v>661</v>
      </c>
      <c r="S102" s="0" t="s">
        <v>188</v>
      </c>
      <c r="T102" s="0" t="s">
        <v>27</v>
      </c>
      <c r="U102" s="0" t="s">
        <v>662</v>
      </c>
      <c r="V102" s="0" t="n">
        <f aca="false">(I102/100 + O102/5) / 2</f>
        <v>0.65835</v>
      </c>
      <c r="W102" s="0" t="n">
        <f aca="false">(J102/100 + P102/5) / 2</f>
        <v>0.64855</v>
      </c>
      <c r="X102" s="0" t="n">
        <f aca="false">(K102/100 + Q102/5) / 2</f>
        <v>0.6105</v>
      </c>
    </row>
    <row r="103" customFormat="false" ht="12.8" hidden="false" customHeight="false" outlineLevel="0" collapsed="false">
      <c r="A103" s="0" t="s">
        <v>663</v>
      </c>
      <c r="B103" s="0" t="s">
        <v>664</v>
      </c>
      <c r="C103" s="0" t="s">
        <v>664</v>
      </c>
      <c r="D103" s="0" t="s">
        <v>665</v>
      </c>
      <c r="E103" s="0" t="s">
        <v>666</v>
      </c>
      <c r="F103" s="0" t="n">
        <v>1</v>
      </c>
      <c r="G103" s="0" t="n">
        <v>1</v>
      </c>
      <c r="H103" s="0" t="n">
        <v>1</v>
      </c>
      <c r="I103" s="0" t="n">
        <v>100</v>
      </c>
      <c r="J103" s="0" t="n">
        <v>100</v>
      </c>
      <c r="K103" s="0" t="n">
        <v>67.75</v>
      </c>
      <c r="L103" s="0" t="n">
        <v>0.98</v>
      </c>
      <c r="M103" s="0" t="n">
        <v>0.98</v>
      </c>
      <c r="N103" s="0" t="n">
        <v>0.97</v>
      </c>
      <c r="O103" s="0" t="n">
        <v>4.85</v>
      </c>
      <c r="P103" s="0" t="n">
        <v>4.85</v>
      </c>
      <c r="Q103" s="0" t="n">
        <v>4.81</v>
      </c>
      <c r="R103" s="0" t="s">
        <v>667</v>
      </c>
      <c r="S103" s="0" t="s">
        <v>26</v>
      </c>
      <c r="T103" s="0" t="s">
        <v>26</v>
      </c>
      <c r="U103" s="0" t="s">
        <v>50</v>
      </c>
      <c r="V103" s="0" t="n">
        <f aca="false">(I103/100 + O103/5) / 2</f>
        <v>0.985</v>
      </c>
      <c r="W103" s="0" t="n">
        <f aca="false">(J103/100 + P103/5) / 2</f>
        <v>0.985</v>
      </c>
      <c r="X103" s="0" t="n">
        <f aca="false">(K103/100 + Q103/5) / 2</f>
        <v>0.81975</v>
      </c>
    </row>
    <row r="104" customFormat="false" ht="12.8" hidden="false" customHeight="false" outlineLevel="0" collapsed="false">
      <c r="A104" s="0" t="s">
        <v>668</v>
      </c>
      <c r="B104" s="0" t="s">
        <v>669</v>
      </c>
      <c r="C104" s="0" t="s">
        <v>670</v>
      </c>
      <c r="D104" s="0" t="s">
        <v>671</v>
      </c>
      <c r="E104" s="0" t="s">
        <v>672</v>
      </c>
      <c r="F104" s="0" t="n">
        <v>1</v>
      </c>
      <c r="G104" s="0" t="n">
        <v>0</v>
      </c>
      <c r="H104" s="0" t="n">
        <v>1</v>
      </c>
      <c r="I104" s="0" t="n">
        <v>67.71</v>
      </c>
      <c r="J104" s="0" t="n">
        <v>54.78</v>
      </c>
      <c r="K104" s="0" t="n">
        <v>67.71</v>
      </c>
      <c r="L104" s="0" t="n">
        <v>0.96</v>
      </c>
      <c r="M104" s="0" t="n">
        <v>0.95</v>
      </c>
      <c r="N104" s="0" t="n">
        <v>0.96</v>
      </c>
      <c r="O104" s="0" t="n">
        <v>4.55</v>
      </c>
      <c r="P104" s="0" t="n">
        <v>4.55</v>
      </c>
      <c r="Q104" s="0" t="n">
        <v>4.55</v>
      </c>
      <c r="R104" s="0" t="s">
        <v>673</v>
      </c>
      <c r="S104" s="0" t="s">
        <v>674</v>
      </c>
      <c r="T104" s="0" t="s">
        <v>149</v>
      </c>
      <c r="U104" s="0" t="s">
        <v>36</v>
      </c>
      <c r="V104" s="0" t="n">
        <f aca="false">(I104/100 + O104/5) / 2</f>
        <v>0.79355</v>
      </c>
      <c r="W104" s="0" t="n">
        <f aca="false">(J104/100 + P104/5) / 2</f>
        <v>0.7289</v>
      </c>
      <c r="X104" s="0" t="n">
        <f aca="false">(K104/100 + Q104/5) / 2</f>
        <v>0.79355</v>
      </c>
    </row>
    <row r="105" customFormat="false" ht="12.8" hidden="false" customHeight="false" outlineLevel="0" collapsed="false">
      <c r="A105" s="0" t="s">
        <v>675</v>
      </c>
      <c r="B105" s="0" t="s">
        <v>676</v>
      </c>
      <c r="C105" s="0" t="s">
        <v>676</v>
      </c>
      <c r="D105" s="0" t="s">
        <v>677</v>
      </c>
      <c r="E105" s="0" t="s">
        <v>678</v>
      </c>
      <c r="F105" s="0" t="n">
        <v>1</v>
      </c>
      <c r="G105" s="0" t="n">
        <v>1</v>
      </c>
      <c r="H105" s="0" t="n">
        <v>0</v>
      </c>
      <c r="I105" s="0" t="n">
        <v>100</v>
      </c>
      <c r="J105" s="0" t="n">
        <v>66.87</v>
      </c>
      <c r="K105" s="0" t="n">
        <v>8.12</v>
      </c>
      <c r="L105" s="0" t="n">
        <v>0.99</v>
      </c>
      <c r="M105" s="0" t="n">
        <v>0.89</v>
      </c>
      <c r="N105" s="0" t="n">
        <v>0.65</v>
      </c>
      <c r="O105" s="0" t="n">
        <v>4.26</v>
      </c>
      <c r="P105" s="0" t="n">
        <v>3.86</v>
      </c>
      <c r="Q105" s="0" t="n">
        <v>3.42</v>
      </c>
      <c r="R105" s="0" t="s">
        <v>679</v>
      </c>
      <c r="S105" s="0" t="s">
        <v>680</v>
      </c>
      <c r="T105" s="0" t="s">
        <v>681</v>
      </c>
      <c r="U105" s="0" t="s">
        <v>36</v>
      </c>
      <c r="V105" s="0" t="n">
        <f aca="false">(I105/100 + O105/5) / 2</f>
        <v>0.926</v>
      </c>
      <c r="W105" s="0" t="n">
        <f aca="false">(J105/100 + P105/5) / 2</f>
        <v>0.72035</v>
      </c>
      <c r="X105" s="0" t="n">
        <f aca="false">(K105/100 + Q105/5) / 2</f>
        <v>0.3826</v>
      </c>
    </row>
    <row r="106" customFormat="false" ht="12.8" hidden="false" customHeight="false" outlineLevel="0" collapsed="false">
      <c r="A106" s="0" t="s">
        <v>682</v>
      </c>
      <c r="B106" s="0" t="s">
        <v>683</v>
      </c>
      <c r="C106" s="0" t="s">
        <v>683</v>
      </c>
      <c r="D106" s="0" t="s">
        <v>684</v>
      </c>
      <c r="E106" s="0" t="s">
        <v>685</v>
      </c>
      <c r="F106" s="0" t="n">
        <v>1</v>
      </c>
      <c r="G106" s="0" t="n">
        <v>0</v>
      </c>
      <c r="H106" s="0" t="n">
        <v>1</v>
      </c>
      <c r="I106" s="0" t="n">
        <v>100</v>
      </c>
      <c r="J106" s="0" t="n">
        <v>52.54</v>
      </c>
      <c r="K106" s="0" t="n">
        <v>52.54</v>
      </c>
      <c r="L106" s="0" t="n">
        <v>0.98</v>
      </c>
      <c r="M106" s="0" t="n">
        <v>0.9</v>
      </c>
      <c r="N106" s="0" t="n">
        <v>0.89</v>
      </c>
      <c r="O106" s="0" t="n">
        <v>4.72</v>
      </c>
      <c r="P106" s="0" t="n">
        <v>4.58</v>
      </c>
      <c r="Q106" s="0" t="n">
        <v>4.58</v>
      </c>
      <c r="R106" s="0" t="s">
        <v>686</v>
      </c>
      <c r="S106" s="0" t="s">
        <v>687</v>
      </c>
      <c r="T106" s="0" t="s">
        <v>688</v>
      </c>
      <c r="U106" s="0" t="s">
        <v>36</v>
      </c>
      <c r="V106" s="0" t="n">
        <f aca="false">(I106/100 + O106/5) / 2</f>
        <v>0.972</v>
      </c>
      <c r="W106" s="0" t="n">
        <f aca="false">(J106/100 + P106/5) / 2</f>
        <v>0.7207</v>
      </c>
      <c r="X106" s="0" t="n">
        <f aca="false">(K106/100 + Q106/5) / 2</f>
        <v>0.7207</v>
      </c>
    </row>
    <row r="107" customFormat="false" ht="12.8" hidden="false" customHeight="false" outlineLevel="0" collapsed="false">
      <c r="A107" s="0" t="s">
        <v>689</v>
      </c>
      <c r="B107" s="0" t="s">
        <v>690</v>
      </c>
      <c r="C107" s="0" t="s">
        <v>690</v>
      </c>
      <c r="D107" s="0" t="s">
        <v>691</v>
      </c>
      <c r="E107" s="0" t="s">
        <v>691</v>
      </c>
      <c r="F107" s="0" t="n">
        <v>1</v>
      </c>
      <c r="G107" s="0" t="n">
        <v>1</v>
      </c>
      <c r="H107" s="0" t="n">
        <v>1</v>
      </c>
      <c r="I107" s="0" t="n">
        <v>100</v>
      </c>
      <c r="J107" s="0" t="n">
        <v>100</v>
      </c>
      <c r="K107" s="0" t="n">
        <v>100</v>
      </c>
      <c r="L107" s="0" t="n">
        <v>0.97</v>
      </c>
      <c r="M107" s="0" t="n">
        <v>0.97</v>
      </c>
      <c r="N107" s="0" t="n">
        <v>0.97</v>
      </c>
      <c r="O107" s="0" t="n">
        <v>4.9</v>
      </c>
      <c r="P107" s="0" t="n">
        <v>4.9</v>
      </c>
      <c r="Q107" s="0" t="n">
        <v>4.9</v>
      </c>
      <c r="R107" s="0" t="s">
        <v>26</v>
      </c>
      <c r="S107" s="0" t="s">
        <v>26</v>
      </c>
      <c r="T107" s="0" t="s">
        <v>26</v>
      </c>
      <c r="U107" s="0" t="s">
        <v>54</v>
      </c>
      <c r="V107" s="0" t="n">
        <f aca="false">(I107/100 + O107/5) / 2</f>
        <v>0.99</v>
      </c>
      <c r="W107" s="0" t="n">
        <f aca="false">(J107/100 + P107/5) / 2</f>
        <v>0.99</v>
      </c>
      <c r="X107" s="0" t="n">
        <f aca="false">(K107/100 + Q107/5) / 2</f>
        <v>0.99</v>
      </c>
    </row>
    <row r="108" customFormat="false" ht="12.8" hidden="false" customHeight="false" outlineLevel="0" collapsed="false">
      <c r="A108" s="0" t="s">
        <v>692</v>
      </c>
      <c r="B108" s="0" t="s">
        <v>693</v>
      </c>
      <c r="C108" s="0" t="s">
        <v>694</v>
      </c>
      <c r="D108" s="0" t="s">
        <v>695</v>
      </c>
      <c r="E108" s="0" t="s">
        <v>696</v>
      </c>
      <c r="F108" s="0" t="n">
        <v>1</v>
      </c>
      <c r="G108" s="0" t="n">
        <v>1</v>
      </c>
      <c r="H108" s="0" t="n">
        <v>0</v>
      </c>
      <c r="I108" s="0" t="n">
        <v>54.11</v>
      </c>
      <c r="J108" s="0" t="n">
        <v>54.11</v>
      </c>
      <c r="K108" s="0" t="n">
        <v>54.11</v>
      </c>
      <c r="L108" s="0" t="n">
        <v>0.9</v>
      </c>
      <c r="M108" s="0" t="n">
        <v>0.9</v>
      </c>
      <c r="N108" s="0" t="n">
        <v>0.89</v>
      </c>
      <c r="O108" s="0" t="n">
        <v>4.23</v>
      </c>
      <c r="P108" s="0" t="n">
        <v>4.23</v>
      </c>
      <c r="Q108" s="0" t="n">
        <v>3.89</v>
      </c>
      <c r="R108" s="0" t="s">
        <v>149</v>
      </c>
      <c r="S108" s="0" t="s">
        <v>697</v>
      </c>
      <c r="T108" s="0" t="s">
        <v>698</v>
      </c>
      <c r="U108" s="0" t="s">
        <v>93</v>
      </c>
      <c r="V108" s="0" t="n">
        <f aca="false">(I108/100 + O108/5) / 2</f>
        <v>0.69355</v>
      </c>
      <c r="W108" s="0" t="n">
        <f aca="false">(J108/100 + P108/5) / 2</f>
        <v>0.69355</v>
      </c>
      <c r="X108" s="0" t="n">
        <f aca="false">(K108/100 + Q108/5) / 2</f>
        <v>0.65955</v>
      </c>
    </row>
    <row r="109" customFormat="false" ht="12.8" hidden="false" customHeight="false" outlineLevel="0" collapsed="false">
      <c r="A109" s="0" t="s">
        <v>699</v>
      </c>
      <c r="B109" s="0" t="s">
        <v>700</v>
      </c>
      <c r="C109" s="0" t="s">
        <v>700</v>
      </c>
      <c r="D109" s="0" t="s">
        <v>701</v>
      </c>
      <c r="E109" s="0" t="s">
        <v>702</v>
      </c>
      <c r="F109" s="0" t="n">
        <v>1</v>
      </c>
      <c r="G109" s="0" t="n">
        <v>1</v>
      </c>
      <c r="H109" s="0" t="n">
        <v>1</v>
      </c>
      <c r="I109" s="0" t="n">
        <v>100</v>
      </c>
      <c r="J109" s="0" t="n">
        <v>100</v>
      </c>
      <c r="K109" s="0" t="n">
        <v>19.36</v>
      </c>
      <c r="L109" s="0" t="n">
        <v>0.98</v>
      </c>
      <c r="M109" s="0" t="n">
        <v>0.98</v>
      </c>
      <c r="N109" s="0" t="n">
        <v>0.48</v>
      </c>
      <c r="O109" s="0" t="n">
        <v>4.82</v>
      </c>
      <c r="P109" s="0" t="n">
        <v>4.82</v>
      </c>
      <c r="Q109" s="0" t="n">
        <v>4.41</v>
      </c>
      <c r="R109" s="0" t="s">
        <v>703</v>
      </c>
      <c r="S109" s="0" t="s">
        <v>704</v>
      </c>
      <c r="T109" s="0" t="s">
        <v>348</v>
      </c>
      <c r="U109" s="0" t="s">
        <v>93</v>
      </c>
      <c r="V109" s="0" t="n">
        <f aca="false">(I109/100 + O109/5) / 2</f>
        <v>0.982</v>
      </c>
      <c r="W109" s="0" t="n">
        <f aca="false">(J109/100 + P109/5) / 2</f>
        <v>0.982</v>
      </c>
      <c r="X109" s="0" t="n">
        <f aca="false">(K109/100 + Q109/5) / 2</f>
        <v>0.5378</v>
      </c>
    </row>
    <row r="110" customFormat="false" ht="12.8" hidden="false" customHeight="false" outlineLevel="0" collapsed="false">
      <c r="A110" s="0" t="s">
        <v>705</v>
      </c>
      <c r="B110" s="0" t="s">
        <v>706</v>
      </c>
      <c r="C110" s="0" t="s">
        <v>707</v>
      </c>
      <c r="D110" s="0" t="s">
        <v>708</v>
      </c>
      <c r="E110" s="0" t="s">
        <v>709</v>
      </c>
      <c r="F110" s="0" t="n">
        <v>1</v>
      </c>
      <c r="G110" s="0" t="n">
        <v>0</v>
      </c>
      <c r="H110" s="0" t="n">
        <v>0</v>
      </c>
      <c r="I110" s="0" t="n">
        <v>70.17</v>
      </c>
      <c r="J110" s="0" t="n">
        <v>60.77</v>
      </c>
      <c r="K110" s="0" t="n">
        <v>5.37</v>
      </c>
      <c r="L110" s="0" t="n">
        <v>0.92</v>
      </c>
      <c r="M110" s="0" t="n">
        <v>0.92</v>
      </c>
      <c r="N110" s="0" t="n">
        <v>0.8</v>
      </c>
      <c r="O110" s="0" t="n">
        <v>4.6</v>
      </c>
      <c r="P110" s="0" t="n">
        <v>4.48</v>
      </c>
      <c r="Q110" s="0" t="n">
        <v>4.07</v>
      </c>
      <c r="R110" s="0" t="s">
        <v>710</v>
      </c>
      <c r="S110" s="0" t="s">
        <v>711</v>
      </c>
      <c r="T110" s="0" t="s">
        <v>712</v>
      </c>
      <c r="U110" s="0" t="s">
        <v>36</v>
      </c>
      <c r="V110" s="0" t="n">
        <f aca="false">(I110/100 + O110/5) / 2</f>
        <v>0.81085</v>
      </c>
      <c r="W110" s="0" t="n">
        <f aca="false">(J110/100 + P110/5) / 2</f>
        <v>0.75185</v>
      </c>
      <c r="X110" s="0" t="n">
        <f aca="false">(K110/100 + Q110/5) / 2</f>
        <v>0.43385</v>
      </c>
    </row>
    <row r="111" customFormat="false" ht="12.8" hidden="false" customHeight="false" outlineLevel="0" collapsed="false">
      <c r="A111" s="0" t="s">
        <v>713</v>
      </c>
      <c r="B111" s="0" t="s">
        <v>714</v>
      </c>
      <c r="C111" s="0" t="s">
        <v>714</v>
      </c>
      <c r="D111" s="0" t="s">
        <v>715</v>
      </c>
      <c r="E111" s="0" t="s">
        <v>716</v>
      </c>
      <c r="F111" s="0" t="n">
        <v>1</v>
      </c>
      <c r="G111" s="0" t="n">
        <v>0</v>
      </c>
      <c r="H111" s="0" t="n">
        <v>0</v>
      </c>
      <c r="I111" s="0" t="n">
        <v>100</v>
      </c>
      <c r="J111" s="0" t="n">
        <v>59.46</v>
      </c>
      <c r="K111" s="0" t="n">
        <v>12.6</v>
      </c>
      <c r="L111" s="0" t="n">
        <v>0.97</v>
      </c>
      <c r="M111" s="0" t="n">
        <v>0.93</v>
      </c>
      <c r="N111" s="0" t="n">
        <v>0.86</v>
      </c>
      <c r="O111" s="0" t="n">
        <v>4.24</v>
      </c>
      <c r="P111" s="0" t="n">
        <v>4.43</v>
      </c>
      <c r="Q111" s="0" t="n">
        <v>3.98</v>
      </c>
      <c r="R111" s="0" t="s">
        <v>717</v>
      </c>
      <c r="S111" s="0" t="s">
        <v>718</v>
      </c>
      <c r="T111" s="0" t="s">
        <v>719</v>
      </c>
      <c r="U111" s="0" t="s">
        <v>36</v>
      </c>
      <c r="V111" s="0" t="n">
        <f aca="false">(I111/100 + O111/5) / 2</f>
        <v>0.924</v>
      </c>
      <c r="W111" s="0" t="n">
        <f aca="false">(J111/100 + P111/5) / 2</f>
        <v>0.7403</v>
      </c>
      <c r="X111" s="0" t="n">
        <f aca="false">(K111/100 + Q111/5) / 2</f>
        <v>0.461</v>
      </c>
    </row>
    <row r="112" customFormat="false" ht="12.8" hidden="false" customHeight="false" outlineLevel="0" collapsed="false">
      <c r="A112" s="0" t="s">
        <v>720</v>
      </c>
      <c r="B112" s="0" t="s">
        <v>721</v>
      </c>
      <c r="C112" s="0" t="s">
        <v>721</v>
      </c>
      <c r="D112" s="0" t="s">
        <v>722</v>
      </c>
      <c r="E112" s="0" t="s">
        <v>723</v>
      </c>
      <c r="F112" s="0" t="n">
        <v>1</v>
      </c>
      <c r="G112" s="0" t="n">
        <v>0</v>
      </c>
      <c r="H112" s="0" t="n">
        <v>0</v>
      </c>
      <c r="I112" s="0" t="n">
        <v>100</v>
      </c>
      <c r="J112" s="0" t="n">
        <v>59.46</v>
      </c>
      <c r="K112" s="0" t="n">
        <v>59.46</v>
      </c>
      <c r="L112" s="0" t="n">
        <v>0.99</v>
      </c>
      <c r="M112" s="0" t="n">
        <v>0.93</v>
      </c>
      <c r="N112" s="0" t="n">
        <v>0.93</v>
      </c>
      <c r="O112" s="0" t="n">
        <v>4.71</v>
      </c>
      <c r="P112" s="0" t="n">
        <v>4.66</v>
      </c>
      <c r="Q112" s="0" t="n">
        <v>4.73</v>
      </c>
      <c r="R112" s="0" t="s">
        <v>724</v>
      </c>
      <c r="S112" s="0" t="s">
        <v>725</v>
      </c>
      <c r="T112" s="0" t="s">
        <v>726</v>
      </c>
      <c r="U112" s="0" t="s">
        <v>36</v>
      </c>
      <c r="V112" s="0" t="n">
        <f aca="false">(I112/100 + O112/5) / 2</f>
        <v>0.971</v>
      </c>
      <c r="W112" s="0" t="n">
        <f aca="false">(J112/100 + P112/5) / 2</f>
        <v>0.7633</v>
      </c>
      <c r="X112" s="0" t="n">
        <f aca="false">(K112/100 + Q112/5) / 2</f>
        <v>0.7703</v>
      </c>
    </row>
    <row r="113" customFormat="false" ht="12.8" hidden="false" customHeight="false" outlineLevel="0" collapsed="false">
      <c r="A113" s="0" t="s">
        <v>727</v>
      </c>
      <c r="B113" s="0" t="s">
        <v>728</v>
      </c>
      <c r="C113" s="0" t="s">
        <v>729</v>
      </c>
      <c r="D113" s="0" t="s">
        <v>730</v>
      </c>
      <c r="E113" s="0" t="s">
        <v>731</v>
      </c>
      <c r="F113" s="0" t="n">
        <v>0</v>
      </c>
      <c r="G113" s="0" t="n">
        <v>0</v>
      </c>
      <c r="H113" s="0" t="n">
        <v>0</v>
      </c>
      <c r="I113" s="0" t="n">
        <v>26.65</v>
      </c>
      <c r="J113" s="0" t="n">
        <v>38.5</v>
      </c>
      <c r="K113" s="0" t="n">
        <v>8.51</v>
      </c>
      <c r="L113" s="0" t="n">
        <v>0.55</v>
      </c>
      <c r="M113" s="0" t="n">
        <v>0.72</v>
      </c>
      <c r="N113" s="0" t="n">
        <v>0.56</v>
      </c>
      <c r="O113" s="0" t="n">
        <v>3.32</v>
      </c>
      <c r="P113" s="0" t="n">
        <v>3.59</v>
      </c>
      <c r="Q113" s="0" t="n">
        <v>3.74</v>
      </c>
      <c r="R113" s="0" t="s">
        <v>378</v>
      </c>
      <c r="S113" s="0" t="s">
        <v>378</v>
      </c>
      <c r="T113" s="0" t="s">
        <v>378</v>
      </c>
      <c r="U113" s="0" t="s">
        <v>54</v>
      </c>
      <c r="V113" s="0" t="n">
        <f aca="false">(I113/100 + O113/5) / 2</f>
        <v>0.46525</v>
      </c>
      <c r="W113" s="0" t="n">
        <f aca="false">(J113/100 + P113/5) / 2</f>
        <v>0.5515</v>
      </c>
      <c r="X113" s="0" t="n">
        <f aca="false">(K113/100 + Q113/5) / 2</f>
        <v>0.41655</v>
      </c>
    </row>
    <row r="114" customFormat="false" ht="12.8" hidden="false" customHeight="false" outlineLevel="0" collapsed="false">
      <c r="A114" s="0" t="s">
        <v>732</v>
      </c>
      <c r="B114" s="0" t="s">
        <v>733</v>
      </c>
      <c r="C114" s="0" t="s">
        <v>734</v>
      </c>
      <c r="D114" s="0" t="s">
        <v>735</v>
      </c>
      <c r="E114" s="0" t="s">
        <v>736</v>
      </c>
      <c r="F114" s="0" t="n">
        <v>0</v>
      </c>
      <c r="G114" s="0" t="n">
        <v>0</v>
      </c>
      <c r="H114" s="0" t="n">
        <v>0</v>
      </c>
      <c r="I114" s="0" t="n">
        <v>61.3</v>
      </c>
      <c r="J114" s="0" t="n">
        <v>55.78</v>
      </c>
      <c r="K114" s="0" t="n">
        <v>6.99</v>
      </c>
      <c r="L114" s="0" t="n">
        <v>0.95</v>
      </c>
      <c r="M114" s="0" t="n">
        <v>0.79</v>
      </c>
      <c r="N114" s="0" t="n">
        <v>0.7</v>
      </c>
      <c r="O114" s="0" t="n">
        <v>3.9</v>
      </c>
      <c r="P114" s="0" t="n">
        <v>3.66</v>
      </c>
      <c r="Q114" s="0" t="n">
        <v>3.23</v>
      </c>
      <c r="R114" s="0" t="s">
        <v>378</v>
      </c>
      <c r="S114" s="0" t="s">
        <v>378</v>
      </c>
      <c r="T114" s="0" t="s">
        <v>378</v>
      </c>
      <c r="U114" s="0" t="s">
        <v>54</v>
      </c>
      <c r="V114" s="0" t="n">
        <f aca="false">(I114/100 + O114/5) / 2</f>
        <v>0.6965</v>
      </c>
      <c r="W114" s="0" t="n">
        <f aca="false">(J114/100 + P114/5) / 2</f>
        <v>0.6449</v>
      </c>
      <c r="X114" s="0" t="n">
        <f aca="false">(K114/100 + Q114/5) / 2</f>
        <v>0.35795</v>
      </c>
    </row>
    <row r="115" customFormat="false" ht="12.8" hidden="false" customHeight="false" outlineLevel="0" collapsed="false">
      <c r="A115" s="0" t="s">
        <v>737</v>
      </c>
      <c r="B115" s="0" t="s">
        <v>738</v>
      </c>
      <c r="C115" s="0" t="s">
        <v>738</v>
      </c>
      <c r="D115" s="0" t="s">
        <v>739</v>
      </c>
      <c r="E115" s="0" t="s">
        <v>740</v>
      </c>
      <c r="F115" s="0" t="n">
        <v>1</v>
      </c>
      <c r="G115" s="0" t="n">
        <v>1</v>
      </c>
      <c r="H115" s="0" t="n">
        <v>1</v>
      </c>
      <c r="I115" s="0" t="n">
        <v>100</v>
      </c>
      <c r="J115" s="0" t="n">
        <v>100</v>
      </c>
      <c r="K115" s="0" t="n">
        <v>70.77</v>
      </c>
      <c r="L115" s="0" t="n">
        <v>0.97</v>
      </c>
      <c r="M115" s="0" t="n">
        <v>0.97</v>
      </c>
      <c r="N115" s="0" t="n">
        <v>0.81</v>
      </c>
      <c r="O115" s="0" t="n">
        <v>4.83</v>
      </c>
      <c r="P115" s="0" t="n">
        <v>4.83</v>
      </c>
      <c r="Q115" s="0" t="n">
        <v>4.77</v>
      </c>
      <c r="R115" s="0" t="s">
        <v>741</v>
      </c>
      <c r="S115" s="0" t="s">
        <v>742</v>
      </c>
      <c r="T115" s="0" t="s">
        <v>26</v>
      </c>
      <c r="U115" s="0" t="s">
        <v>93</v>
      </c>
      <c r="V115" s="0" t="n">
        <f aca="false">(I115/100 + O115/5) / 2</f>
        <v>0.983</v>
      </c>
      <c r="W115" s="0" t="n">
        <f aca="false">(J115/100 + P115/5) / 2</f>
        <v>0.983</v>
      </c>
      <c r="X115" s="0" t="n">
        <f aca="false">(K115/100 + Q115/5) / 2</f>
        <v>0.83085</v>
      </c>
    </row>
    <row r="116" customFormat="false" ht="12.8" hidden="false" customHeight="false" outlineLevel="0" collapsed="false">
      <c r="A116" s="0" t="s">
        <v>743</v>
      </c>
      <c r="B116" s="0" t="s">
        <v>744</v>
      </c>
      <c r="C116" s="0" t="s">
        <v>745</v>
      </c>
      <c r="D116" s="0" t="s">
        <v>746</v>
      </c>
      <c r="E116" s="0" t="s">
        <v>747</v>
      </c>
      <c r="F116" s="0" t="n">
        <v>1</v>
      </c>
      <c r="G116" s="0" t="n">
        <v>0</v>
      </c>
      <c r="H116" s="0" t="n">
        <v>1</v>
      </c>
      <c r="I116" s="0" t="n">
        <v>31.24</v>
      </c>
      <c r="J116" s="0" t="n">
        <v>31.24</v>
      </c>
      <c r="K116" s="0" t="n">
        <v>31.24</v>
      </c>
      <c r="L116" s="0" t="n">
        <v>0.84</v>
      </c>
      <c r="M116" s="0" t="n">
        <v>0.84</v>
      </c>
      <c r="N116" s="0" t="n">
        <v>0.84</v>
      </c>
      <c r="O116" s="0" t="n">
        <v>4.42</v>
      </c>
      <c r="P116" s="0" t="n">
        <v>4.33</v>
      </c>
      <c r="Q116" s="0" t="n">
        <v>4.42</v>
      </c>
      <c r="R116" s="0" t="s">
        <v>149</v>
      </c>
      <c r="S116" s="0" t="s">
        <v>149</v>
      </c>
      <c r="T116" s="0" t="s">
        <v>748</v>
      </c>
      <c r="U116" s="0" t="s">
        <v>93</v>
      </c>
      <c r="V116" s="0" t="n">
        <f aca="false">(I116/100 + O116/5) / 2</f>
        <v>0.5982</v>
      </c>
      <c r="W116" s="0" t="n">
        <f aca="false">(J116/100 + P116/5) / 2</f>
        <v>0.5892</v>
      </c>
      <c r="X116" s="0" t="n">
        <f aca="false">(K116/100 + Q116/5) / 2</f>
        <v>0.5982</v>
      </c>
    </row>
    <row r="117" customFormat="false" ht="12.8" hidden="false" customHeight="false" outlineLevel="0" collapsed="false">
      <c r="A117" s="0" t="s">
        <v>749</v>
      </c>
      <c r="B117" s="0" t="s">
        <v>750</v>
      </c>
      <c r="C117" s="0" t="s">
        <v>751</v>
      </c>
      <c r="D117" s="0" t="s">
        <v>752</v>
      </c>
      <c r="E117" s="0" t="s">
        <v>753</v>
      </c>
      <c r="F117" s="0" t="n">
        <v>1</v>
      </c>
      <c r="G117" s="0" t="n">
        <v>1</v>
      </c>
      <c r="H117" s="0" t="n">
        <v>1</v>
      </c>
      <c r="I117" s="0" t="n">
        <v>65.86</v>
      </c>
      <c r="J117" s="0" t="n">
        <v>65.86</v>
      </c>
      <c r="K117" s="0" t="n">
        <v>53.79</v>
      </c>
      <c r="L117" s="0" t="n">
        <v>0.88</v>
      </c>
      <c r="M117" s="0" t="n">
        <v>0.88</v>
      </c>
      <c r="N117" s="0" t="n">
        <v>0.91</v>
      </c>
      <c r="O117" s="0" t="n">
        <v>4.69</v>
      </c>
      <c r="P117" s="0" t="n">
        <v>4.69</v>
      </c>
      <c r="Q117" s="0" t="n">
        <v>4.54</v>
      </c>
      <c r="R117" s="0" t="s">
        <v>754</v>
      </c>
      <c r="S117" s="0" t="s">
        <v>92</v>
      </c>
      <c r="T117" s="0" t="s">
        <v>92</v>
      </c>
      <c r="U117" s="0" t="s">
        <v>93</v>
      </c>
      <c r="V117" s="0" t="n">
        <f aca="false">(I117/100 + O117/5) / 2</f>
        <v>0.7983</v>
      </c>
      <c r="W117" s="0" t="n">
        <f aca="false">(J117/100 + P117/5) / 2</f>
        <v>0.7983</v>
      </c>
      <c r="X117" s="0" t="n">
        <f aca="false">(K117/100 + Q117/5) / 2</f>
        <v>0.72295</v>
      </c>
    </row>
    <row r="118" customFormat="false" ht="12.8" hidden="false" customHeight="false" outlineLevel="0" collapsed="false">
      <c r="A118" s="0" t="s">
        <v>755</v>
      </c>
      <c r="B118" s="0" t="s">
        <v>756</v>
      </c>
      <c r="C118" s="0" t="s">
        <v>757</v>
      </c>
      <c r="D118" s="0" t="s">
        <v>758</v>
      </c>
      <c r="E118" s="0" t="s">
        <v>759</v>
      </c>
      <c r="F118" s="0" t="n">
        <v>1</v>
      </c>
      <c r="G118" s="0" t="n">
        <v>1</v>
      </c>
      <c r="H118" s="0" t="n">
        <v>1</v>
      </c>
      <c r="I118" s="0" t="n">
        <v>32.99</v>
      </c>
      <c r="J118" s="0" t="n">
        <v>32.99</v>
      </c>
      <c r="K118" s="0" t="n">
        <v>23.11</v>
      </c>
      <c r="L118" s="0" t="n">
        <v>0.75</v>
      </c>
      <c r="M118" s="0" t="n">
        <v>0.75</v>
      </c>
      <c r="N118" s="0" t="n">
        <v>0.75</v>
      </c>
      <c r="O118" s="0" t="n">
        <v>4.46</v>
      </c>
      <c r="P118" s="0" t="n">
        <v>4.46</v>
      </c>
      <c r="Q118" s="0" t="n">
        <v>4.44</v>
      </c>
      <c r="R118" s="0" t="s">
        <v>760</v>
      </c>
      <c r="S118" s="0" t="s">
        <v>26</v>
      </c>
      <c r="T118" s="0" t="s">
        <v>26</v>
      </c>
      <c r="U118" s="0" t="s">
        <v>50</v>
      </c>
      <c r="V118" s="0" t="n">
        <f aca="false">(I118/100 + O118/5) / 2</f>
        <v>0.61095</v>
      </c>
      <c r="W118" s="0" t="n">
        <f aca="false">(J118/100 + P118/5) / 2</f>
        <v>0.61095</v>
      </c>
      <c r="X118" s="0" t="n">
        <f aca="false">(K118/100 + Q118/5) / 2</f>
        <v>0.55955</v>
      </c>
    </row>
    <row r="119" customFormat="false" ht="12.8" hidden="false" customHeight="false" outlineLevel="0" collapsed="false">
      <c r="A119" s="0" t="s">
        <v>761</v>
      </c>
      <c r="B119" s="0" t="s">
        <v>762</v>
      </c>
      <c r="C119" s="0" t="s">
        <v>763</v>
      </c>
      <c r="D119" s="0" t="s">
        <v>764</v>
      </c>
      <c r="E119" s="0" t="s">
        <v>765</v>
      </c>
      <c r="F119" s="0" t="n">
        <v>1</v>
      </c>
      <c r="G119" s="0" t="n">
        <v>1</v>
      </c>
      <c r="H119" s="0" t="n">
        <v>1</v>
      </c>
      <c r="I119" s="0" t="n">
        <v>30.66</v>
      </c>
      <c r="J119" s="0" t="n">
        <v>30.66</v>
      </c>
      <c r="K119" s="0" t="n">
        <v>21.4</v>
      </c>
      <c r="L119" s="0" t="n">
        <v>0.9</v>
      </c>
      <c r="M119" s="0" t="n">
        <v>0.9</v>
      </c>
      <c r="N119" s="0" t="n">
        <v>0.9</v>
      </c>
      <c r="O119" s="0" t="n">
        <v>4.57</v>
      </c>
      <c r="P119" s="0" t="n">
        <v>4.57</v>
      </c>
      <c r="Q119" s="0" t="n">
        <v>4.58</v>
      </c>
      <c r="R119" s="0" t="s">
        <v>766</v>
      </c>
      <c r="S119" s="0" t="s">
        <v>26</v>
      </c>
      <c r="T119" s="0" t="s">
        <v>26</v>
      </c>
      <c r="U119" s="0" t="s">
        <v>50</v>
      </c>
      <c r="V119" s="0" t="n">
        <f aca="false">(I119/100 + O119/5) / 2</f>
        <v>0.6103</v>
      </c>
      <c r="W119" s="0" t="n">
        <f aca="false">(J119/100 + P119/5) / 2</f>
        <v>0.6103</v>
      </c>
      <c r="X119" s="0" t="n">
        <f aca="false">(K119/100 + Q119/5) / 2</f>
        <v>0.565</v>
      </c>
    </row>
    <row r="120" customFormat="false" ht="12.8" hidden="false" customHeight="false" outlineLevel="0" collapsed="false">
      <c r="A120" s="0" t="s">
        <v>767</v>
      </c>
      <c r="B120" s="0" t="s">
        <v>768</v>
      </c>
      <c r="C120" s="0" t="s">
        <v>769</v>
      </c>
      <c r="D120" s="0" t="s">
        <v>770</v>
      </c>
      <c r="E120" s="0" t="s">
        <v>771</v>
      </c>
      <c r="F120" s="0" t="n">
        <v>1</v>
      </c>
      <c r="G120" s="0" t="n">
        <v>1</v>
      </c>
      <c r="H120" s="0" t="n">
        <v>1</v>
      </c>
      <c r="I120" s="0" t="n">
        <v>72.6</v>
      </c>
      <c r="J120" s="0" t="n">
        <v>72.6</v>
      </c>
      <c r="K120" s="0" t="n">
        <v>63.89</v>
      </c>
      <c r="L120" s="0" t="n">
        <v>0.94</v>
      </c>
      <c r="M120" s="0" t="n">
        <v>0.94</v>
      </c>
      <c r="N120" s="0" t="n">
        <v>0.92</v>
      </c>
      <c r="O120" s="0" t="n">
        <v>4.5</v>
      </c>
      <c r="P120" s="0" t="n">
        <v>4.5</v>
      </c>
      <c r="Q120" s="0" t="n">
        <v>4.51</v>
      </c>
      <c r="R120" s="0" t="s">
        <v>600</v>
      </c>
      <c r="S120" s="0" t="s">
        <v>92</v>
      </c>
      <c r="T120" s="0" t="s">
        <v>26</v>
      </c>
      <c r="U120" s="0" t="s">
        <v>50</v>
      </c>
      <c r="V120" s="0" t="n">
        <f aca="false">(I120/100 + O120/5) / 2</f>
        <v>0.813</v>
      </c>
      <c r="W120" s="0" t="n">
        <f aca="false">(J120/100 + P120/5) / 2</f>
        <v>0.813</v>
      </c>
      <c r="X120" s="0" t="n">
        <f aca="false">(K120/100 + Q120/5) / 2</f>
        <v>0.77045</v>
      </c>
    </row>
    <row r="121" customFormat="false" ht="12.8" hidden="false" customHeight="false" outlineLevel="0" collapsed="false">
      <c r="A121" s="0" t="s">
        <v>772</v>
      </c>
      <c r="B121" s="0" t="s">
        <v>773</v>
      </c>
      <c r="C121" s="0" t="s">
        <v>774</v>
      </c>
      <c r="D121" s="0" t="s">
        <v>775</v>
      </c>
      <c r="E121" s="0" t="s">
        <v>775</v>
      </c>
      <c r="F121" s="0" t="n">
        <v>1</v>
      </c>
      <c r="G121" s="0" t="n">
        <v>1</v>
      </c>
      <c r="H121" s="0" t="n">
        <v>1</v>
      </c>
      <c r="I121" s="0" t="n">
        <v>63.89</v>
      </c>
      <c r="J121" s="0" t="n">
        <v>63.89</v>
      </c>
      <c r="K121" s="0" t="n">
        <v>63.89</v>
      </c>
      <c r="L121" s="0" t="n">
        <v>0.91</v>
      </c>
      <c r="M121" s="0" t="n">
        <v>0.91</v>
      </c>
      <c r="N121" s="0" t="n">
        <v>0.91</v>
      </c>
      <c r="O121" s="0" t="n">
        <v>3.98</v>
      </c>
      <c r="P121" s="0" t="n">
        <v>3.98</v>
      </c>
      <c r="Q121" s="0" t="n">
        <v>3.98</v>
      </c>
      <c r="R121" s="0" t="s">
        <v>26</v>
      </c>
      <c r="S121" s="0" t="s">
        <v>26</v>
      </c>
      <c r="T121" s="0" t="s">
        <v>26</v>
      </c>
      <c r="U121" s="0" t="s">
        <v>54</v>
      </c>
      <c r="V121" s="0" t="n">
        <f aca="false">(I121/100 + O121/5) / 2</f>
        <v>0.71745</v>
      </c>
      <c r="W121" s="0" t="n">
        <f aca="false">(J121/100 + P121/5) / 2</f>
        <v>0.71745</v>
      </c>
      <c r="X121" s="0" t="n">
        <f aca="false">(K121/100 + Q121/5) / 2</f>
        <v>0.71745</v>
      </c>
    </row>
    <row r="122" customFormat="false" ht="12.8" hidden="false" customHeight="false" outlineLevel="0" collapsed="false">
      <c r="A122" s="0" t="s">
        <v>776</v>
      </c>
      <c r="B122" s="0" t="s">
        <v>777</v>
      </c>
      <c r="C122" s="0" t="s">
        <v>777</v>
      </c>
      <c r="D122" s="0" t="s">
        <v>778</v>
      </c>
      <c r="E122" s="0" t="s">
        <v>778</v>
      </c>
      <c r="F122" s="0" t="n">
        <v>1</v>
      </c>
      <c r="G122" s="0" t="n">
        <v>1</v>
      </c>
      <c r="H122" s="0" t="n">
        <v>1</v>
      </c>
      <c r="I122" s="0" t="n">
        <v>100</v>
      </c>
      <c r="J122" s="0" t="n">
        <v>100</v>
      </c>
      <c r="K122" s="0" t="n">
        <v>100</v>
      </c>
      <c r="L122" s="0" t="n">
        <v>0.99</v>
      </c>
      <c r="M122" s="0" t="n">
        <v>0.99</v>
      </c>
      <c r="N122" s="0" t="n">
        <v>0.99</v>
      </c>
      <c r="O122" s="0" t="n">
        <v>4.83</v>
      </c>
      <c r="P122" s="0" t="n">
        <v>4.83</v>
      </c>
      <c r="Q122" s="0" t="n">
        <v>4.83</v>
      </c>
      <c r="R122" s="0" t="s">
        <v>26</v>
      </c>
      <c r="S122" s="0" t="s">
        <v>26</v>
      </c>
      <c r="T122" s="0" t="s">
        <v>26</v>
      </c>
      <c r="U122" s="0" t="s">
        <v>54</v>
      </c>
      <c r="V122" s="0" t="n">
        <f aca="false">(I122/100 + O122/5) / 2</f>
        <v>0.983</v>
      </c>
      <c r="W122" s="0" t="n">
        <f aca="false">(J122/100 + P122/5) / 2</f>
        <v>0.983</v>
      </c>
      <c r="X122" s="0" t="n">
        <f aca="false">(K122/100 + Q122/5) / 2</f>
        <v>0.983</v>
      </c>
    </row>
    <row r="123" customFormat="false" ht="12.8" hidden="false" customHeight="false" outlineLevel="0" collapsed="false">
      <c r="A123" s="0" t="s">
        <v>779</v>
      </c>
      <c r="B123" s="0" t="s">
        <v>780</v>
      </c>
      <c r="C123" s="0" t="s">
        <v>780</v>
      </c>
      <c r="D123" s="0" t="s">
        <v>781</v>
      </c>
      <c r="E123" s="0" t="s">
        <v>782</v>
      </c>
      <c r="F123" s="0" t="n">
        <v>1</v>
      </c>
      <c r="G123" s="0" t="n">
        <v>1</v>
      </c>
      <c r="H123" s="0" t="n">
        <v>1</v>
      </c>
      <c r="I123" s="0" t="n">
        <v>100</v>
      </c>
      <c r="J123" s="0" t="n">
        <v>73.49</v>
      </c>
      <c r="K123" s="0" t="n">
        <v>100</v>
      </c>
      <c r="L123" s="0" t="n">
        <v>0.99</v>
      </c>
      <c r="M123" s="0" t="n">
        <v>0.98</v>
      </c>
      <c r="N123" s="0" t="n">
        <v>0.99</v>
      </c>
      <c r="O123" s="0" t="n">
        <v>4.84</v>
      </c>
      <c r="P123" s="0" t="n">
        <v>4.82</v>
      </c>
      <c r="Q123" s="0" t="n">
        <v>4.84</v>
      </c>
      <c r="R123" s="0" t="s">
        <v>783</v>
      </c>
      <c r="S123" s="0" t="s">
        <v>26</v>
      </c>
      <c r="T123" s="0" t="s">
        <v>26</v>
      </c>
      <c r="U123" s="0" t="s">
        <v>50</v>
      </c>
      <c r="V123" s="0" t="n">
        <f aca="false">(I123/100 + O123/5) / 2</f>
        <v>0.984</v>
      </c>
      <c r="W123" s="0" t="n">
        <f aca="false">(J123/100 + P123/5) / 2</f>
        <v>0.84945</v>
      </c>
      <c r="X123" s="0" t="n">
        <f aca="false">(K123/100 + Q123/5) / 2</f>
        <v>0.984</v>
      </c>
    </row>
    <row r="124" customFormat="false" ht="12.8" hidden="false" customHeight="false" outlineLevel="0" collapsed="false">
      <c r="A124" s="0" t="s">
        <v>784</v>
      </c>
      <c r="B124" s="0" t="s">
        <v>785</v>
      </c>
      <c r="C124" s="0" t="s">
        <v>785</v>
      </c>
      <c r="D124" s="0" t="s">
        <v>786</v>
      </c>
      <c r="E124" s="0" t="s">
        <v>787</v>
      </c>
      <c r="F124" s="0" t="n">
        <v>1</v>
      </c>
      <c r="G124" s="0" t="n">
        <v>0</v>
      </c>
      <c r="H124" s="0" t="n">
        <v>1</v>
      </c>
      <c r="I124" s="0" t="n">
        <v>100</v>
      </c>
      <c r="J124" s="0" t="n">
        <v>8.29</v>
      </c>
      <c r="K124" s="0" t="n">
        <v>14.74</v>
      </c>
      <c r="L124" s="0" t="n">
        <v>0.99</v>
      </c>
      <c r="M124" s="0" t="n">
        <v>0.96</v>
      </c>
      <c r="N124" s="0" t="n">
        <v>0.97</v>
      </c>
      <c r="O124" s="0" t="n">
        <v>4.51</v>
      </c>
      <c r="P124" s="0" t="n">
        <v>4.15</v>
      </c>
      <c r="Q124" s="0" t="n">
        <v>4.28</v>
      </c>
      <c r="R124" s="0" t="s">
        <v>103</v>
      </c>
      <c r="S124" s="0" t="s">
        <v>748</v>
      </c>
      <c r="T124" s="0" t="s">
        <v>788</v>
      </c>
      <c r="U124" s="0" t="s">
        <v>93</v>
      </c>
      <c r="V124" s="0" t="n">
        <f aca="false">(I124/100 + O124/5) / 2</f>
        <v>0.951</v>
      </c>
      <c r="W124" s="0" t="n">
        <f aca="false">(J124/100 + P124/5) / 2</f>
        <v>0.45645</v>
      </c>
      <c r="X124" s="0" t="n">
        <f aca="false">(K124/100 + Q124/5) / 2</f>
        <v>0.5017</v>
      </c>
    </row>
    <row r="125" customFormat="false" ht="12.8" hidden="false" customHeight="false" outlineLevel="0" collapsed="false">
      <c r="A125" s="0" t="s">
        <v>789</v>
      </c>
      <c r="B125" s="0" t="s">
        <v>790</v>
      </c>
      <c r="C125" s="0" t="s">
        <v>790</v>
      </c>
      <c r="D125" s="0" t="s">
        <v>791</v>
      </c>
      <c r="E125" s="0" t="s">
        <v>791</v>
      </c>
      <c r="F125" s="0" t="n">
        <v>1</v>
      </c>
      <c r="G125" s="0" t="n">
        <v>1</v>
      </c>
      <c r="H125" s="0" t="n">
        <v>1</v>
      </c>
      <c r="I125" s="0" t="n">
        <v>100</v>
      </c>
      <c r="J125" s="0" t="n">
        <v>100</v>
      </c>
      <c r="K125" s="0" t="n">
        <v>100</v>
      </c>
      <c r="L125" s="0" t="n">
        <v>0.99</v>
      </c>
      <c r="M125" s="0" t="n">
        <v>0.99</v>
      </c>
      <c r="N125" s="0" t="n">
        <v>0.99</v>
      </c>
      <c r="O125" s="0" t="n">
        <v>5</v>
      </c>
      <c r="P125" s="0" t="n">
        <v>5</v>
      </c>
      <c r="Q125" s="0" t="n">
        <v>5</v>
      </c>
      <c r="R125" s="0" t="s">
        <v>26</v>
      </c>
      <c r="S125" s="0" t="s">
        <v>26</v>
      </c>
      <c r="T125" s="0" t="s">
        <v>26</v>
      </c>
      <c r="U125" s="0" t="s">
        <v>54</v>
      </c>
      <c r="V125" s="0" t="n">
        <f aca="false">(I125/100 + O125/5) / 2</f>
        <v>1</v>
      </c>
      <c r="W125" s="0" t="n">
        <f aca="false">(J125/100 + P125/5) / 2</f>
        <v>1</v>
      </c>
      <c r="X125" s="0" t="n">
        <f aca="false">(K125/100 + Q125/5) / 2</f>
        <v>1</v>
      </c>
    </row>
    <row r="126" customFormat="false" ht="12.8" hidden="false" customHeight="false" outlineLevel="0" collapsed="false">
      <c r="A126" s="0" t="s">
        <v>792</v>
      </c>
      <c r="B126" s="0" t="s">
        <v>793</v>
      </c>
      <c r="C126" s="0" t="s">
        <v>793</v>
      </c>
      <c r="D126" s="0" t="s">
        <v>794</v>
      </c>
      <c r="E126" s="0" t="s">
        <v>795</v>
      </c>
      <c r="F126" s="0" t="n">
        <v>1</v>
      </c>
      <c r="G126" s="0" t="n">
        <v>0</v>
      </c>
      <c r="H126" s="0" t="n">
        <v>1</v>
      </c>
      <c r="I126" s="0" t="n">
        <v>100</v>
      </c>
      <c r="J126" s="0" t="n">
        <v>41.11</v>
      </c>
      <c r="K126" s="0" t="n">
        <v>100</v>
      </c>
      <c r="L126" s="0" t="n">
        <v>0.98</v>
      </c>
      <c r="M126" s="0" t="n">
        <v>0.92</v>
      </c>
      <c r="N126" s="0" t="n">
        <v>0.98</v>
      </c>
      <c r="O126" s="0" t="n">
        <v>4.56</v>
      </c>
      <c r="P126" s="0" t="n">
        <v>4.28</v>
      </c>
      <c r="Q126" s="0" t="n">
        <v>4.56</v>
      </c>
      <c r="R126" s="0" t="s">
        <v>796</v>
      </c>
      <c r="S126" s="0" t="s">
        <v>797</v>
      </c>
      <c r="T126" s="0" t="s">
        <v>798</v>
      </c>
      <c r="U126" s="0" t="s">
        <v>36</v>
      </c>
      <c r="V126" s="0" t="n">
        <f aca="false">(I126/100 + O126/5) / 2</f>
        <v>0.956</v>
      </c>
      <c r="W126" s="0" t="n">
        <f aca="false">(J126/100 + P126/5) / 2</f>
        <v>0.63355</v>
      </c>
      <c r="X126" s="0" t="n">
        <f aca="false">(K126/100 + Q126/5) / 2</f>
        <v>0.956</v>
      </c>
    </row>
    <row r="127" customFormat="false" ht="12.8" hidden="false" customHeight="false" outlineLevel="0" collapsed="false">
      <c r="A127" s="0" t="s">
        <v>799</v>
      </c>
      <c r="B127" s="0" t="s">
        <v>800</v>
      </c>
      <c r="C127" s="0" t="s">
        <v>800</v>
      </c>
      <c r="D127" s="0" t="s">
        <v>801</v>
      </c>
      <c r="E127" s="0" t="s">
        <v>801</v>
      </c>
      <c r="F127" s="0" t="n">
        <v>1</v>
      </c>
      <c r="G127" s="0" t="n">
        <v>1</v>
      </c>
      <c r="H127" s="0" t="n">
        <v>1</v>
      </c>
      <c r="I127" s="0" t="n">
        <v>100</v>
      </c>
      <c r="J127" s="0" t="n">
        <v>100</v>
      </c>
      <c r="K127" s="0" t="n">
        <v>100</v>
      </c>
      <c r="L127" s="0" t="n">
        <v>0.99</v>
      </c>
      <c r="M127" s="0" t="n">
        <v>0.99</v>
      </c>
      <c r="N127" s="0" t="n">
        <v>0.99</v>
      </c>
      <c r="O127" s="0" t="n">
        <v>5.1</v>
      </c>
      <c r="P127" s="0" t="n">
        <v>5.1</v>
      </c>
      <c r="Q127" s="0" t="n">
        <v>5.1</v>
      </c>
      <c r="R127" s="0" t="s">
        <v>26</v>
      </c>
      <c r="S127" s="0" t="s">
        <v>26</v>
      </c>
      <c r="T127" s="0" t="s">
        <v>26</v>
      </c>
      <c r="U127" s="0" t="s">
        <v>54</v>
      </c>
      <c r="V127" s="0" t="n">
        <f aca="false">(I127/100 + O127/5) / 2</f>
        <v>1.01</v>
      </c>
      <c r="W127" s="0" t="n">
        <f aca="false">(J127/100 + P127/5) / 2</f>
        <v>1.01</v>
      </c>
      <c r="X127" s="0" t="n">
        <f aca="false">(K127/100 + Q127/5) / 2</f>
        <v>1.01</v>
      </c>
    </row>
    <row r="128" customFormat="false" ht="12.8" hidden="false" customHeight="false" outlineLevel="0" collapsed="false">
      <c r="A128" s="0" t="s">
        <v>802</v>
      </c>
      <c r="B128" s="0" t="s">
        <v>803</v>
      </c>
      <c r="C128" s="0" t="s">
        <v>804</v>
      </c>
      <c r="D128" s="0" t="s">
        <v>805</v>
      </c>
      <c r="E128" s="0" t="s">
        <v>806</v>
      </c>
      <c r="F128" s="0" t="n">
        <v>0</v>
      </c>
      <c r="G128" s="0" t="n">
        <v>0</v>
      </c>
      <c r="H128" s="0" t="n">
        <v>1</v>
      </c>
      <c r="I128" s="0" t="n">
        <v>48.89</v>
      </c>
      <c r="J128" s="0" t="n">
        <v>40.94</v>
      </c>
      <c r="K128" s="0" t="n">
        <v>54.75</v>
      </c>
      <c r="L128" s="0" t="n">
        <v>0.95</v>
      </c>
      <c r="M128" s="0" t="n">
        <v>0.9</v>
      </c>
      <c r="N128" s="0" t="n">
        <v>0.95</v>
      </c>
      <c r="O128" s="0" t="n">
        <v>3.5</v>
      </c>
      <c r="P128" s="0" t="n">
        <v>3.92</v>
      </c>
      <c r="Q128" s="0" t="n">
        <v>4.44</v>
      </c>
      <c r="R128" s="0" t="s">
        <v>807</v>
      </c>
      <c r="S128" s="0" t="s">
        <v>808</v>
      </c>
      <c r="T128" s="0" t="s">
        <v>809</v>
      </c>
      <c r="U128" s="0" t="s">
        <v>36</v>
      </c>
      <c r="V128" s="0" t="n">
        <f aca="false">(I128/100 + O128/5) / 2</f>
        <v>0.59445</v>
      </c>
      <c r="W128" s="0" t="n">
        <f aca="false">(J128/100 + P128/5) / 2</f>
        <v>0.5967</v>
      </c>
      <c r="X128" s="0" t="n">
        <f aca="false">(K128/100 + Q128/5) / 2</f>
        <v>0.71775</v>
      </c>
    </row>
    <row r="129" customFormat="false" ht="12.8" hidden="false" customHeight="false" outlineLevel="0" collapsed="false">
      <c r="A129" s="0" t="s">
        <v>810</v>
      </c>
      <c r="B129" s="0" t="s">
        <v>811</v>
      </c>
      <c r="C129" s="0" t="s">
        <v>811</v>
      </c>
      <c r="D129" s="0" t="s">
        <v>812</v>
      </c>
      <c r="E129" s="0" t="s">
        <v>813</v>
      </c>
      <c r="F129" s="0" t="n">
        <v>1</v>
      </c>
      <c r="G129" s="0" t="n">
        <v>1</v>
      </c>
      <c r="H129" s="0" t="n">
        <v>0</v>
      </c>
      <c r="I129" s="0" t="n">
        <v>100</v>
      </c>
      <c r="J129" s="0" t="n">
        <v>46.31</v>
      </c>
      <c r="K129" s="0" t="n">
        <v>12.44</v>
      </c>
      <c r="L129" s="0" t="n">
        <v>0.99</v>
      </c>
      <c r="M129" s="0" t="n">
        <v>0.9</v>
      </c>
      <c r="N129" s="0" t="n">
        <v>0.66</v>
      </c>
      <c r="O129" s="0" t="n">
        <v>4.69</v>
      </c>
      <c r="P129" s="0" t="n">
        <v>4.41</v>
      </c>
      <c r="Q129" s="0" t="n">
        <v>4.34</v>
      </c>
      <c r="R129" s="0" t="s">
        <v>814</v>
      </c>
      <c r="S129" s="0" t="s">
        <v>815</v>
      </c>
      <c r="T129" s="0" t="s">
        <v>816</v>
      </c>
      <c r="U129" s="0" t="s">
        <v>36</v>
      </c>
      <c r="V129" s="0" t="n">
        <f aca="false">(I129/100 + O129/5) / 2</f>
        <v>0.969</v>
      </c>
      <c r="W129" s="0" t="n">
        <f aca="false">(J129/100 + P129/5) / 2</f>
        <v>0.67255</v>
      </c>
      <c r="X129" s="0" t="n">
        <f aca="false">(K129/100 + Q129/5) / 2</f>
        <v>0.4962</v>
      </c>
    </row>
    <row r="130" customFormat="false" ht="12.8" hidden="false" customHeight="false" outlineLevel="0" collapsed="false">
      <c r="A130" s="0" t="s">
        <v>817</v>
      </c>
      <c r="B130" s="0" t="s">
        <v>818</v>
      </c>
      <c r="C130" s="0" t="s">
        <v>818</v>
      </c>
      <c r="D130" s="0" t="s">
        <v>819</v>
      </c>
      <c r="E130" s="0" t="s">
        <v>819</v>
      </c>
      <c r="F130" s="0" t="n">
        <v>1</v>
      </c>
      <c r="G130" s="0" t="n">
        <v>1</v>
      </c>
      <c r="H130" s="0" t="n">
        <v>1</v>
      </c>
      <c r="I130" s="0" t="n">
        <v>100</v>
      </c>
      <c r="J130" s="0" t="n">
        <v>100</v>
      </c>
      <c r="K130" s="0" t="n">
        <v>100</v>
      </c>
      <c r="L130" s="0" t="n">
        <v>0.98</v>
      </c>
      <c r="M130" s="0" t="n">
        <v>0.98</v>
      </c>
      <c r="N130" s="0" t="n">
        <v>0.98</v>
      </c>
      <c r="O130" s="0" t="n">
        <v>4.92</v>
      </c>
      <c r="P130" s="0" t="n">
        <v>4.92</v>
      </c>
      <c r="Q130" s="0" t="n">
        <v>4.92</v>
      </c>
      <c r="R130" s="0" t="s">
        <v>26</v>
      </c>
      <c r="S130" s="0" t="s">
        <v>26</v>
      </c>
      <c r="T130" s="0" t="s">
        <v>26</v>
      </c>
      <c r="U130" s="0" t="s">
        <v>54</v>
      </c>
      <c r="V130" s="0" t="n">
        <f aca="false">(I130/100 + O130/5) / 2</f>
        <v>0.992</v>
      </c>
      <c r="W130" s="0" t="n">
        <f aca="false">(J130/100 + P130/5) / 2</f>
        <v>0.992</v>
      </c>
      <c r="X130" s="0" t="n">
        <f aca="false">(K130/100 + Q130/5) / 2</f>
        <v>0.992</v>
      </c>
    </row>
    <row r="131" customFormat="false" ht="12.8" hidden="false" customHeight="false" outlineLevel="0" collapsed="false">
      <c r="A131" s="0" t="s">
        <v>820</v>
      </c>
      <c r="B131" s="0" t="s">
        <v>821</v>
      </c>
      <c r="C131" s="0" t="s">
        <v>821</v>
      </c>
      <c r="D131" s="0" t="s">
        <v>822</v>
      </c>
      <c r="E131" s="0" t="s">
        <v>823</v>
      </c>
      <c r="F131" s="0" t="n">
        <v>1</v>
      </c>
      <c r="G131" s="0" t="n">
        <v>1</v>
      </c>
      <c r="H131" s="0" t="n">
        <v>1</v>
      </c>
      <c r="I131" s="0" t="n">
        <v>100</v>
      </c>
      <c r="J131" s="0" t="n">
        <v>100</v>
      </c>
      <c r="K131" s="0" t="n">
        <v>75.77</v>
      </c>
      <c r="L131" s="0" t="n">
        <v>0.97</v>
      </c>
      <c r="M131" s="0" t="n">
        <v>0.97</v>
      </c>
      <c r="N131" s="0" t="n">
        <v>0.95</v>
      </c>
      <c r="O131" s="0" t="n">
        <v>5.3</v>
      </c>
      <c r="P131" s="0" t="n">
        <v>5.3</v>
      </c>
      <c r="Q131" s="0" t="n">
        <v>4.99</v>
      </c>
      <c r="R131" s="0" t="s">
        <v>824</v>
      </c>
      <c r="S131" s="0" t="s">
        <v>26</v>
      </c>
      <c r="T131" s="0" t="s">
        <v>510</v>
      </c>
      <c r="U131" s="0" t="s">
        <v>28</v>
      </c>
      <c r="V131" s="0" t="n">
        <f aca="false">(I131/100 + O131/5) / 2</f>
        <v>1.03</v>
      </c>
      <c r="W131" s="0" t="n">
        <f aca="false">(J131/100 + P131/5) / 2</f>
        <v>1.03</v>
      </c>
      <c r="X131" s="0" t="n">
        <f aca="false">(K131/100 + Q131/5) / 2</f>
        <v>0.87785</v>
      </c>
    </row>
    <row r="132" customFormat="false" ht="12.8" hidden="false" customHeight="false" outlineLevel="0" collapsed="false">
      <c r="A132" s="0" t="s">
        <v>825</v>
      </c>
      <c r="B132" s="0" t="s">
        <v>826</v>
      </c>
      <c r="C132" s="0" t="s">
        <v>826</v>
      </c>
      <c r="D132" s="0" t="s">
        <v>827</v>
      </c>
      <c r="E132" s="0" t="s">
        <v>827</v>
      </c>
      <c r="F132" s="0" t="n">
        <v>1</v>
      </c>
      <c r="G132" s="0" t="n">
        <v>1</v>
      </c>
      <c r="H132" s="0" t="n">
        <v>1</v>
      </c>
      <c r="I132" s="0" t="n">
        <v>100</v>
      </c>
      <c r="J132" s="0" t="n">
        <v>100</v>
      </c>
      <c r="K132" s="0" t="n">
        <v>100</v>
      </c>
      <c r="L132" s="0" t="n">
        <v>0.99</v>
      </c>
      <c r="M132" s="0" t="n">
        <v>0.99</v>
      </c>
      <c r="N132" s="0" t="n">
        <v>0.99</v>
      </c>
      <c r="O132" s="0" t="n">
        <v>4.32</v>
      </c>
      <c r="P132" s="0" t="n">
        <v>4.32</v>
      </c>
      <c r="Q132" s="0" t="n">
        <v>4.32</v>
      </c>
      <c r="R132" s="0" t="s">
        <v>26</v>
      </c>
      <c r="S132" s="0" t="s">
        <v>26</v>
      </c>
      <c r="T132" s="0" t="s">
        <v>26</v>
      </c>
      <c r="U132" s="0" t="s">
        <v>54</v>
      </c>
      <c r="V132" s="0" t="n">
        <f aca="false">(I132/100 + O132/5) / 2</f>
        <v>0.932</v>
      </c>
      <c r="W132" s="0" t="n">
        <f aca="false">(J132/100 + P132/5) / 2</f>
        <v>0.932</v>
      </c>
      <c r="X132" s="0" t="n">
        <f aca="false">(K132/100 + Q132/5) / 2</f>
        <v>0.932</v>
      </c>
    </row>
    <row r="133" customFormat="false" ht="12.8" hidden="false" customHeight="false" outlineLevel="0" collapsed="false">
      <c r="A133" s="0" t="s">
        <v>828</v>
      </c>
      <c r="B133" s="0" t="s">
        <v>829</v>
      </c>
      <c r="C133" s="0" t="s">
        <v>829</v>
      </c>
      <c r="D133" s="0" t="s">
        <v>830</v>
      </c>
      <c r="E133" s="0" t="s">
        <v>831</v>
      </c>
      <c r="F133" s="0" t="n">
        <v>1</v>
      </c>
      <c r="G133" s="0" t="n">
        <v>0</v>
      </c>
      <c r="H133" s="0" t="n">
        <v>1</v>
      </c>
      <c r="I133" s="0" t="n">
        <v>100</v>
      </c>
      <c r="J133" s="0" t="n">
        <v>50</v>
      </c>
      <c r="K133" s="0" t="n">
        <v>100</v>
      </c>
      <c r="L133" s="0" t="n">
        <v>0.97</v>
      </c>
      <c r="M133" s="0" t="n">
        <v>0.93</v>
      </c>
      <c r="N133" s="0" t="n">
        <v>0.97</v>
      </c>
      <c r="O133" s="0" t="n">
        <v>4.4</v>
      </c>
      <c r="P133" s="0" t="n">
        <v>4.36</v>
      </c>
      <c r="Q133" s="0" t="n">
        <v>4.4</v>
      </c>
      <c r="R133" s="0" t="s">
        <v>832</v>
      </c>
      <c r="S133" s="0" t="s">
        <v>833</v>
      </c>
      <c r="T133" s="0" t="s">
        <v>834</v>
      </c>
      <c r="U133" s="0" t="s">
        <v>36</v>
      </c>
      <c r="V133" s="0" t="n">
        <f aca="false">(I133/100 + O133/5) / 2</f>
        <v>0.94</v>
      </c>
      <c r="W133" s="0" t="n">
        <f aca="false">(J133/100 + P133/5) / 2</f>
        <v>0.686</v>
      </c>
      <c r="X133" s="0" t="n">
        <f aca="false">(K133/100 + Q133/5) / 2</f>
        <v>0.94</v>
      </c>
    </row>
    <row r="134" customFormat="false" ht="12.8" hidden="false" customHeight="false" outlineLevel="0" collapsed="false">
      <c r="A134" s="0" t="s">
        <v>835</v>
      </c>
      <c r="B134" s="0" t="s">
        <v>836</v>
      </c>
      <c r="C134" s="0" t="s">
        <v>837</v>
      </c>
      <c r="D134" s="0" t="s">
        <v>838</v>
      </c>
      <c r="E134" s="0" t="s">
        <v>838</v>
      </c>
      <c r="F134" s="0" t="n">
        <v>0</v>
      </c>
      <c r="G134" s="0" t="n">
        <v>0</v>
      </c>
      <c r="H134" s="0" t="n">
        <v>0</v>
      </c>
      <c r="I134" s="0" t="n">
        <v>48.89</v>
      </c>
      <c r="J134" s="0" t="n">
        <v>48.89</v>
      </c>
      <c r="K134" s="0" t="n">
        <v>48.89</v>
      </c>
      <c r="L134" s="0" t="n">
        <v>0.94</v>
      </c>
      <c r="M134" s="0" t="n">
        <v>0.94</v>
      </c>
      <c r="N134" s="0" t="n">
        <v>0.94</v>
      </c>
      <c r="O134" s="0" t="n">
        <v>4.32</v>
      </c>
      <c r="P134" s="0" t="n">
        <v>4.32</v>
      </c>
      <c r="Q134" s="0" t="n">
        <v>4.32</v>
      </c>
      <c r="R134" s="0" t="s">
        <v>378</v>
      </c>
      <c r="S134" s="0" t="s">
        <v>378</v>
      </c>
      <c r="T134" s="0" t="s">
        <v>378</v>
      </c>
      <c r="U134" s="0" t="s">
        <v>54</v>
      </c>
      <c r="V134" s="0" t="n">
        <f aca="false">(I134/100 + O134/5) / 2</f>
        <v>0.67645</v>
      </c>
      <c r="W134" s="0" t="n">
        <f aca="false">(J134/100 + P134/5) / 2</f>
        <v>0.67645</v>
      </c>
      <c r="X134" s="0" t="n">
        <f aca="false">(K134/100 + Q134/5) / 2</f>
        <v>0.67645</v>
      </c>
    </row>
    <row r="135" customFormat="false" ht="12.8" hidden="false" customHeight="false" outlineLevel="0" collapsed="false">
      <c r="A135" s="0" t="s">
        <v>839</v>
      </c>
      <c r="B135" s="0" t="s">
        <v>840</v>
      </c>
      <c r="C135" s="0" t="s">
        <v>841</v>
      </c>
      <c r="D135" s="0" t="s">
        <v>842</v>
      </c>
      <c r="E135" s="0" t="s">
        <v>843</v>
      </c>
      <c r="F135" s="0" t="n">
        <v>1</v>
      </c>
      <c r="G135" s="0" t="n">
        <v>1</v>
      </c>
      <c r="H135" s="0" t="n">
        <v>1</v>
      </c>
      <c r="I135" s="0" t="n">
        <v>73.49</v>
      </c>
      <c r="J135" s="0" t="n">
        <v>57.84</v>
      </c>
      <c r="K135" s="0" t="n">
        <v>53.11</v>
      </c>
      <c r="L135" s="0" t="n">
        <v>0.94</v>
      </c>
      <c r="M135" s="0" t="n">
        <v>0.91</v>
      </c>
      <c r="N135" s="0" t="n">
        <v>0.91</v>
      </c>
      <c r="O135" s="0" t="n">
        <v>4.51</v>
      </c>
      <c r="P135" s="0" t="n">
        <v>4.41</v>
      </c>
      <c r="Q135" s="0" t="n">
        <v>4.44</v>
      </c>
      <c r="R135" s="0" t="s">
        <v>844</v>
      </c>
      <c r="S135" s="0" t="s">
        <v>92</v>
      </c>
      <c r="T135" s="0" t="s">
        <v>26</v>
      </c>
      <c r="U135" s="0" t="s">
        <v>93</v>
      </c>
      <c r="V135" s="0" t="n">
        <f aca="false">(I135/100 + O135/5) / 2</f>
        <v>0.81845</v>
      </c>
      <c r="W135" s="0" t="n">
        <f aca="false">(J135/100 + P135/5) / 2</f>
        <v>0.7302</v>
      </c>
      <c r="X135" s="0" t="n">
        <f aca="false">(K135/100 + Q135/5) / 2</f>
        <v>0.70955</v>
      </c>
    </row>
    <row r="136" customFormat="false" ht="12.8" hidden="false" customHeight="false" outlineLevel="0" collapsed="false">
      <c r="A136" s="0" t="s">
        <v>845</v>
      </c>
      <c r="B136" s="0" t="s">
        <v>846</v>
      </c>
      <c r="C136" s="0" t="s">
        <v>846</v>
      </c>
      <c r="D136" s="0" t="s">
        <v>847</v>
      </c>
      <c r="E136" s="0" t="s">
        <v>847</v>
      </c>
      <c r="F136" s="0" t="n">
        <v>1</v>
      </c>
      <c r="G136" s="0" t="n">
        <v>1</v>
      </c>
      <c r="H136" s="0" t="n">
        <v>1</v>
      </c>
      <c r="I136" s="0" t="n">
        <v>100</v>
      </c>
      <c r="J136" s="0" t="n">
        <v>100</v>
      </c>
      <c r="K136" s="0" t="n">
        <v>100</v>
      </c>
      <c r="L136" s="0" t="n">
        <v>0.99</v>
      </c>
      <c r="M136" s="0" t="n">
        <v>0.99</v>
      </c>
      <c r="N136" s="0" t="n">
        <v>0.99</v>
      </c>
      <c r="O136" s="0" t="n">
        <v>4.54</v>
      </c>
      <c r="P136" s="0" t="n">
        <v>4.54</v>
      </c>
      <c r="Q136" s="0" t="n">
        <v>4.54</v>
      </c>
      <c r="R136" s="0" t="s">
        <v>26</v>
      </c>
      <c r="S136" s="0" t="s">
        <v>26</v>
      </c>
      <c r="T136" s="0" t="s">
        <v>26</v>
      </c>
      <c r="U136" s="0" t="s">
        <v>54</v>
      </c>
      <c r="V136" s="0" t="n">
        <f aca="false">(I136/100 + O136/5) / 2</f>
        <v>0.954</v>
      </c>
      <c r="W136" s="0" t="n">
        <f aca="false">(J136/100 + P136/5) / 2</f>
        <v>0.954</v>
      </c>
      <c r="X136" s="0" t="n">
        <f aca="false">(K136/100 + Q136/5) / 2</f>
        <v>0.954</v>
      </c>
    </row>
    <row r="137" customFormat="false" ht="12.8" hidden="false" customHeight="false" outlineLevel="0" collapsed="false">
      <c r="A137" s="0" t="s">
        <v>848</v>
      </c>
      <c r="B137" s="0" t="s">
        <v>849</v>
      </c>
      <c r="C137" s="0" t="s">
        <v>849</v>
      </c>
      <c r="D137" s="0" t="s">
        <v>850</v>
      </c>
      <c r="E137" s="0" t="s">
        <v>851</v>
      </c>
      <c r="F137" s="0" t="n">
        <v>1</v>
      </c>
      <c r="G137" s="0" t="n">
        <v>0</v>
      </c>
      <c r="H137" s="0" t="n">
        <v>1</v>
      </c>
      <c r="I137" s="0" t="n">
        <v>100</v>
      </c>
      <c r="J137" s="0" t="n">
        <v>58.14</v>
      </c>
      <c r="K137" s="0" t="n">
        <v>5.3</v>
      </c>
      <c r="L137" s="0" t="n">
        <v>0.98</v>
      </c>
      <c r="M137" s="0" t="n">
        <v>0.9</v>
      </c>
      <c r="N137" s="0" t="n">
        <v>0.73</v>
      </c>
      <c r="O137" s="0" t="n">
        <v>4.87</v>
      </c>
      <c r="P137" s="0" t="n">
        <v>4.83</v>
      </c>
      <c r="Q137" s="0" t="n">
        <v>3.49</v>
      </c>
      <c r="R137" s="0" t="s">
        <v>852</v>
      </c>
      <c r="S137" s="0" t="s">
        <v>853</v>
      </c>
      <c r="T137" s="0" t="s">
        <v>854</v>
      </c>
      <c r="U137" s="0" t="s">
        <v>28</v>
      </c>
      <c r="V137" s="0" t="n">
        <f aca="false">(I137/100 + O137/5) / 2</f>
        <v>0.987</v>
      </c>
      <c r="W137" s="0" t="n">
        <f aca="false">(J137/100 + P137/5) / 2</f>
        <v>0.7737</v>
      </c>
      <c r="X137" s="0" t="n">
        <f aca="false">(K137/100 + Q137/5) / 2</f>
        <v>0.3755</v>
      </c>
    </row>
    <row r="138" customFormat="false" ht="12.8" hidden="false" customHeight="false" outlineLevel="0" collapsed="false">
      <c r="A138" s="0" t="s">
        <v>855</v>
      </c>
      <c r="B138" s="0" t="s">
        <v>856</v>
      </c>
      <c r="C138" s="0" t="s">
        <v>856</v>
      </c>
      <c r="D138" s="0" t="s">
        <v>857</v>
      </c>
      <c r="E138" s="0" t="s">
        <v>858</v>
      </c>
      <c r="F138" s="0" t="n">
        <v>1</v>
      </c>
      <c r="G138" s="0" t="n">
        <v>1</v>
      </c>
      <c r="H138" s="0" t="n">
        <v>1</v>
      </c>
      <c r="I138" s="0" t="n">
        <v>100</v>
      </c>
      <c r="J138" s="0" t="n">
        <v>88.01</v>
      </c>
      <c r="K138" s="0" t="n">
        <v>26.92</v>
      </c>
      <c r="L138" s="0" t="n">
        <v>0.98</v>
      </c>
      <c r="M138" s="0" t="n">
        <v>0.96</v>
      </c>
      <c r="N138" s="0" t="n">
        <v>0.91</v>
      </c>
      <c r="O138" s="0" t="n">
        <v>5.09</v>
      </c>
      <c r="P138" s="0" t="n">
        <v>4.93</v>
      </c>
      <c r="Q138" s="0" t="n">
        <v>4.38</v>
      </c>
      <c r="R138" s="0" t="s">
        <v>859</v>
      </c>
      <c r="S138" s="0" t="s">
        <v>385</v>
      </c>
      <c r="T138" s="0" t="s">
        <v>860</v>
      </c>
      <c r="U138" s="0" t="s">
        <v>28</v>
      </c>
      <c r="V138" s="0" t="n">
        <f aca="false">(I138/100 + O138/5) / 2</f>
        <v>1.009</v>
      </c>
      <c r="W138" s="0" t="n">
        <f aca="false">(J138/100 + P138/5) / 2</f>
        <v>0.93305</v>
      </c>
      <c r="X138" s="0" t="n">
        <f aca="false">(K138/100 + Q138/5) / 2</f>
        <v>0.5726</v>
      </c>
    </row>
    <row r="139" customFormat="false" ht="12.8" hidden="false" customHeight="false" outlineLevel="0" collapsed="false">
      <c r="A139" s="0" t="s">
        <v>861</v>
      </c>
      <c r="B139" s="0" t="s">
        <v>862</v>
      </c>
      <c r="C139" s="0" t="s">
        <v>862</v>
      </c>
      <c r="D139" s="0" t="s">
        <v>863</v>
      </c>
      <c r="E139" s="0" t="s">
        <v>863</v>
      </c>
      <c r="F139" s="0" t="n">
        <v>1</v>
      </c>
      <c r="G139" s="0" t="n">
        <v>1</v>
      </c>
      <c r="H139" s="0" t="n">
        <v>1</v>
      </c>
      <c r="I139" s="0" t="n">
        <v>100</v>
      </c>
      <c r="J139" s="0" t="n">
        <v>100</v>
      </c>
      <c r="K139" s="0" t="n">
        <v>100</v>
      </c>
      <c r="L139" s="0" t="n">
        <v>0.99</v>
      </c>
      <c r="M139" s="0" t="n">
        <v>0.99</v>
      </c>
      <c r="N139" s="0" t="n">
        <v>0.99</v>
      </c>
      <c r="O139" s="0" t="n">
        <v>4.61</v>
      </c>
      <c r="P139" s="0" t="n">
        <v>4.61</v>
      </c>
      <c r="Q139" s="0" t="n">
        <v>4.61</v>
      </c>
      <c r="R139" s="0" t="s">
        <v>26</v>
      </c>
      <c r="S139" s="0" t="s">
        <v>26</v>
      </c>
      <c r="T139" s="0" t="s">
        <v>26</v>
      </c>
      <c r="U139" s="0" t="s">
        <v>54</v>
      </c>
      <c r="V139" s="0" t="n">
        <f aca="false">(I139/100 + O139/5) / 2</f>
        <v>0.961</v>
      </c>
      <c r="W139" s="0" t="n">
        <f aca="false">(J139/100 + P139/5) / 2</f>
        <v>0.961</v>
      </c>
      <c r="X139" s="0" t="n">
        <f aca="false">(K139/100 + Q139/5) / 2</f>
        <v>0.961</v>
      </c>
    </row>
    <row r="140" customFormat="false" ht="12.8" hidden="false" customHeight="false" outlineLevel="0" collapsed="false">
      <c r="A140" s="0" t="s">
        <v>864</v>
      </c>
      <c r="B140" s="0" t="s">
        <v>865</v>
      </c>
      <c r="C140" s="0" t="s">
        <v>866</v>
      </c>
      <c r="D140" s="0" t="s">
        <v>867</v>
      </c>
      <c r="E140" s="0" t="s">
        <v>868</v>
      </c>
      <c r="F140" s="0" t="n">
        <v>1</v>
      </c>
      <c r="G140" s="0" t="n">
        <v>0</v>
      </c>
      <c r="H140" s="0" t="n">
        <v>0</v>
      </c>
      <c r="I140" s="0" t="n">
        <v>24.08</v>
      </c>
      <c r="J140" s="0" t="n">
        <v>70.71</v>
      </c>
      <c r="K140" s="0" t="n">
        <v>13.54</v>
      </c>
      <c r="L140" s="0" t="n">
        <v>0.78</v>
      </c>
      <c r="M140" s="0" t="n">
        <v>0.8</v>
      </c>
      <c r="N140" s="0" t="n">
        <v>0.7</v>
      </c>
      <c r="O140" s="0" t="n">
        <v>4.2</v>
      </c>
      <c r="P140" s="0" t="n">
        <v>3.32</v>
      </c>
      <c r="Q140" s="0" t="n">
        <v>3.76</v>
      </c>
      <c r="R140" s="0" t="s">
        <v>869</v>
      </c>
      <c r="S140" s="0" t="s">
        <v>870</v>
      </c>
      <c r="T140" s="0" t="s">
        <v>871</v>
      </c>
      <c r="U140" s="0" t="s">
        <v>93</v>
      </c>
      <c r="V140" s="0" t="n">
        <f aca="false">(I140/100 + O140/5) / 2</f>
        <v>0.5404</v>
      </c>
      <c r="W140" s="0" t="n">
        <f aca="false">(J140/100 + P140/5) / 2</f>
        <v>0.68555</v>
      </c>
      <c r="X140" s="0" t="n">
        <f aca="false">(K140/100 + Q140/5) / 2</f>
        <v>0.4437</v>
      </c>
    </row>
    <row r="141" customFormat="false" ht="12.8" hidden="false" customHeight="false" outlineLevel="0" collapsed="false">
      <c r="A141" s="0" t="s">
        <v>872</v>
      </c>
      <c r="B141" s="0" t="s">
        <v>873</v>
      </c>
      <c r="C141" s="0" t="s">
        <v>874</v>
      </c>
      <c r="D141" s="0" t="s">
        <v>875</v>
      </c>
      <c r="E141" s="0" t="s">
        <v>876</v>
      </c>
      <c r="F141" s="0" t="n">
        <v>0</v>
      </c>
      <c r="G141" s="0" t="n">
        <v>0</v>
      </c>
      <c r="H141" s="0" t="n">
        <v>0</v>
      </c>
      <c r="I141" s="0" t="n">
        <v>39.28</v>
      </c>
      <c r="J141" s="0" t="n">
        <v>37.99</v>
      </c>
      <c r="K141" s="0" t="n">
        <v>22.96</v>
      </c>
      <c r="L141" s="0" t="n">
        <v>0.94</v>
      </c>
      <c r="M141" s="0" t="n">
        <v>0.92</v>
      </c>
      <c r="N141" s="0" t="n">
        <v>0.93</v>
      </c>
      <c r="O141" s="0" t="n">
        <v>4.17</v>
      </c>
      <c r="P141" s="0" t="n">
        <v>3.82</v>
      </c>
      <c r="Q141" s="0" t="n">
        <v>4.24</v>
      </c>
      <c r="R141" s="0" t="s">
        <v>378</v>
      </c>
      <c r="S141" s="0" t="s">
        <v>378</v>
      </c>
      <c r="T141" s="0" t="s">
        <v>378</v>
      </c>
      <c r="U141" s="0" t="s">
        <v>54</v>
      </c>
      <c r="V141" s="0" t="n">
        <f aca="false">(I141/100 + O141/5) / 2</f>
        <v>0.6134</v>
      </c>
      <c r="W141" s="0" t="n">
        <f aca="false">(J141/100 + P141/5) / 2</f>
        <v>0.57195</v>
      </c>
      <c r="X141" s="0" t="n">
        <f aca="false">(K141/100 + Q141/5) / 2</f>
        <v>0.5388</v>
      </c>
    </row>
    <row r="142" customFormat="false" ht="12.8" hidden="false" customHeight="false" outlineLevel="0" collapsed="false">
      <c r="A142" s="0" t="s">
        <v>877</v>
      </c>
      <c r="B142" s="0" t="s">
        <v>878</v>
      </c>
      <c r="C142" s="0" t="s">
        <v>879</v>
      </c>
      <c r="D142" s="0" t="s">
        <v>880</v>
      </c>
      <c r="E142" s="0" t="s">
        <v>881</v>
      </c>
      <c r="F142" s="0" t="n">
        <v>1</v>
      </c>
      <c r="G142" s="0" t="n">
        <v>0</v>
      </c>
      <c r="H142" s="0" t="n">
        <v>1</v>
      </c>
      <c r="I142" s="0" t="n">
        <v>26.27</v>
      </c>
      <c r="J142" s="0" t="n">
        <v>48.89</v>
      </c>
      <c r="K142" s="0" t="n">
        <v>100</v>
      </c>
      <c r="L142" s="0" t="n">
        <v>0.91</v>
      </c>
      <c r="M142" s="0" t="n">
        <v>0.97</v>
      </c>
      <c r="N142" s="0" t="n">
        <v>0.99</v>
      </c>
      <c r="O142" s="0" t="n">
        <v>4.5</v>
      </c>
      <c r="P142" s="0" t="n">
        <v>4.5</v>
      </c>
      <c r="Q142" s="0" t="n">
        <v>4.55</v>
      </c>
      <c r="R142" s="0" t="s">
        <v>882</v>
      </c>
      <c r="S142" s="0" t="s">
        <v>883</v>
      </c>
      <c r="T142" s="0" t="s">
        <v>573</v>
      </c>
      <c r="U142" s="0" t="s">
        <v>93</v>
      </c>
      <c r="V142" s="0" t="n">
        <f aca="false">(I142/100 + O142/5) / 2</f>
        <v>0.58135</v>
      </c>
      <c r="W142" s="0" t="n">
        <f aca="false">(J142/100 + P142/5) / 2</f>
        <v>0.69445</v>
      </c>
      <c r="X142" s="0" t="n">
        <f aca="false">(K142/100 + Q142/5) / 2</f>
        <v>0.955</v>
      </c>
    </row>
    <row r="143" customFormat="false" ht="12.8" hidden="false" customHeight="false" outlineLevel="0" collapsed="false">
      <c r="A143" s="0" t="s">
        <v>884</v>
      </c>
      <c r="B143" s="0" t="s">
        <v>885</v>
      </c>
      <c r="C143" s="0" t="s">
        <v>886</v>
      </c>
      <c r="D143" s="0" t="s">
        <v>887</v>
      </c>
      <c r="E143" s="0" t="s">
        <v>888</v>
      </c>
      <c r="F143" s="0" t="n">
        <v>0</v>
      </c>
      <c r="G143" s="0" t="n">
        <v>0</v>
      </c>
      <c r="H143" s="0" t="n">
        <v>0</v>
      </c>
      <c r="I143" s="0" t="n">
        <v>35.49</v>
      </c>
      <c r="J143" s="0" t="n">
        <v>58.14</v>
      </c>
      <c r="K143" s="0" t="n">
        <v>58.14</v>
      </c>
      <c r="L143" s="0" t="n">
        <v>0.95</v>
      </c>
      <c r="M143" s="0" t="n">
        <v>0.97</v>
      </c>
      <c r="N143" s="0" t="n">
        <v>0.97</v>
      </c>
      <c r="O143" s="0" t="n">
        <v>4.71</v>
      </c>
      <c r="P143" s="0" t="n">
        <v>4.8</v>
      </c>
      <c r="Q143" s="0" t="n">
        <v>4.81</v>
      </c>
      <c r="R143" s="0" t="s">
        <v>378</v>
      </c>
      <c r="S143" s="0" t="s">
        <v>378</v>
      </c>
      <c r="T143" s="0" t="s">
        <v>378</v>
      </c>
      <c r="U143" s="0" t="s">
        <v>54</v>
      </c>
      <c r="V143" s="0" t="n">
        <f aca="false">(I143/100 + O143/5) / 2</f>
        <v>0.64845</v>
      </c>
      <c r="W143" s="0" t="n">
        <f aca="false">(J143/100 + P143/5) / 2</f>
        <v>0.7707</v>
      </c>
      <c r="X143" s="0" t="n">
        <f aca="false">(K143/100 + Q143/5) / 2</f>
        <v>0.7717</v>
      </c>
    </row>
    <row r="144" customFormat="false" ht="12.8" hidden="false" customHeight="false" outlineLevel="0" collapsed="false">
      <c r="A144" s="0" t="s">
        <v>889</v>
      </c>
      <c r="B144" s="0" t="s">
        <v>890</v>
      </c>
      <c r="C144" s="0" t="s">
        <v>891</v>
      </c>
      <c r="D144" s="0" t="s">
        <v>892</v>
      </c>
      <c r="E144" s="0" t="s">
        <v>893</v>
      </c>
      <c r="F144" s="0" t="n">
        <v>1</v>
      </c>
      <c r="G144" s="0" t="n">
        <v>1</v>
      </c>
      <c r="H144" s="0" t="n">
        <v>1</v>
      </c>
      <c r="I144" s="0" t="n">
        <v>78.25</v>
      </c>
      <c r="J144" s="0" t="n">
        <v>100</v>
      </c>
      <c r="K144" s="0" t="n">
        <v>78.25</v>
      </c>
      <c r="L144" s="0" t="n">
        <v>0.82</v>
      </c>
      <c r="M144" s="0" t="n">
        <v>0.98</v>
      </c>
      <c r="N144" s="0" t="n">
        <v>0.82</v>
      </c>
      <c r="O144" s="0" t="n">
        <v>3.93</v>
      </c>
      <c r="P144" s="0" t="n">
        <v>4.06</v>
      </c>
      <c r="Q144" s="0" t="n">
        <v>3.93</v>
      </c>
      <c r="R144" s="0" t="s">
        <v>228</v>
      </c>
      <c r="S144" s="0" t="s">
        <v>894</v>
      </c>
      <c r="T144" s="0" t="s">
        <v>92</v>
      </c>
      <c r="U144" s="0" t="s">
        <v>93</v>
      </c>
      <c r="V144" s="0" t="n">
        <f aca="false">(I144/100 + O144/5) / 2</f>
        <v>0.78425</v>
      </c>
      <c r="W144" s="0" t="n">
        <f aca="false">(J144/100 + P144/5) / 2</f>
        <v>0.906</v>
      </c>
      <c r="X144" s="0" t="n">
        <f aca="false">(K144/100 + Q144/5) / 2</f>
        <v>0.78425</v>
      </c>
    </row>
    <row r="145" customFormat="false" ht="12.8" hidden="false" customHeight="false" outlineLevel="0" collapsed="false">
      <c r="A145" s="0" t="s">
        <v>895</v>
      </c>
      <c r="B145" s="0" t="s">
        <v>896</v>
      </c>
      <c r="C145" s="0" t="s">
        <v>897</v>
      </c>
      <c r="D145" s="0" t="s">
        <v>898</v>
      </c>
      <c r="E145" s="0" t="s">
        <v>899</v>
      </c>
      <c r="F145" s="0" t="n">
        <v>1</v>
      </c>
      <c r="G145" s="0" t="n">
        <v>0</v>
      </c>
      <c r="H145" s="0" t="n">
        <v>1</v>
      </c>
      <c r="I145" s="0" t="n">
        <v>70.71</v>
      </c>
      <c r="J145" s="0" t="n">
        <v>40.35</v>
      </c>
      <c r="K145" s="0" t="n">
        <v>26.71</v>
      </c>
      <c r="L145" s="0" t="n">
        <v>0.94</v>
      </c>
      <c r="M145" s="0" t="n">
        <v>0.94</v>
      </c>
      <c r="N145" s="0" t="n">
        <v>0.95</v>
      </c>
      <c r="O145" s="0" t="n">
        <v>4.52</v>
      </c>
      <c r="P145" s="0" t="n">
        <v>4.84</v>
      </c>
      <c r="Q145" s="0" t="n">
        <v>4.75</v>
      </c>
      <c r="R145" s="0" t="s">
        <v>900</v>
      </c>
      <c r="S145" s="0" t="s">
        <v>112</v>
      </c>
      <c r="T145" s="0" t="s">
        <v>572</v>
      </c>
      <c r="U145" s="0" t="s">
        <v>28</v>
      </c>
      <c r="V145" s="0" t="n">
        <f aca="false">(I145/100 + O145/5) / 2</f>
        <v>0.80555</v>
      </c>
      <c r="W145" s="0" t="n">
        <f aca="false">(J145/100 + P145/5) / 2</f>
        <v>0.68575</v>
      </c>
      <c r="X145" s="0" t="n">
        <f aca="false">(K145/100 + Q145/5) / 2</f>
        <v>0.60855</v>
      </c>
    </row>
    <row r="146" customFormat="false" ht="12.8" hidden="false" customHeight="false" outlineLevel="0" collapsed="false">
      <c r="A146" s="0" t="s">
        <v>901</v>
      </c>
      <c r="B146" s="0" t="s">
        <v>902</v>
      </c>
      <c r="C146" s="0" t="s">
        <v>903</v>
      </c>
      <c r="D146" s="0" t="s">
        <v>904</v>
      </c>
      <c r="E146" s="0" t="s">
        <v>905</v>
      </c>
      <c r="F146" s="0" t="n">
        <v>0</v>
      </c>
      <c r="G146" s="0" t="n">
        <v>0</v>
      </c>
      <c r="H146" s="0" t="n">
        <v>0</v>
      </c>
      <c r="I146" s="0" t="n">
        <v>38.68</v>
      </c>
      <c r="J146" s="0" t="n">
        <v>48.44</v>
      </c>
      <c r="K146" s="0" t="n">
        <v>48.44</v>
      </c>
      <c r="L146" s="0" t="n">
        <v>0.94</v>
      </c>
      <c r="M146" s="0" t="n">
        <v>0.95</v>
      </c>
      <c r="N146" s="0" t="n">
        <v>0.95</v>
      </c>
      <c r="O146" s="0" t="n">
        <v>4.73</v>
      </c>
      <c r="P146" s="0" t="n">
        <v>4.76</v>
      </c>
      <c r="Q146" s="0" t="n">
        <v>4.75</v>
      </c>
      <c r="R146" s="0" t="s">
        <v>378</v>
      </c>
      <c r="S146" s="0" t="s">
        <v>378</v>
      </c>
      <c r="T146" s="0" t="s">
        <v>378</v>
      </c>
      <c r="U146" s="0" t="s">
        <v>54</v>
      </c>
      <c r="V146" s="0" t="n">
        <f aca="false">(I146/100 + O146/5) / 2</f>
        <v>0.6664</v>
      </c>
      <c r="W146" s="0" t="n">
        <f aca="false">(J146/100 + P146/5) / 2</f>
        <v>0.7182</v>
      </c>
      <c r="X146" s="0" t="n">
        <f aca="false">(K146/100 + Q146/5) / 2</f>
        <v>0.7172</v>
      </c>
    </row>
    <row r="147" customFormat="false" ht="12.8" hidden="false" customHeight="false" outlineLevel="0" collapsed="false">
      <c r="A147" s="0" t="s">
        <v>906</v>
      </c>
      <c r="B147" s="0" t="s">
        <v>907</v>
      </c>
      <c r="C147" s="0" t="s">
        <v>907</v>
      </c>
      <c r="D147" s="0" t="s">
        <v>908</v>
      </c>
      <c r="E147" s="0" t="s">
        <v>909</v>
      </c>
      <c r="F147" s="0" t="n">
        <v>1</v>
      </c>
      <c r="G147" s="0" t="n">
        <v>1</v>
      </c>
      <c r="H147" s="0" t="n">
        <v>1</v>
      </c>
      <c r="I147" s="0" t="n">
        <v>100</v>
      </c>
      <c r="J147" s="0" t="n">
        <v>100</v>
      </c>
      <c r="K147" s="0" t="n">
        <v>80.03</v>
      </c>
      <c r="L147" s="0" t="n">
        <v>0.98</v>
      </c>
      <c r="M147" s="0" t="n">
        <v>0.98</v>
      </c>
      <c r="N147" s="0" t="n">
        <v>0.93</v>
      </c>
      <c r="O147" s="0" t="n">
        <v>4.92</v>
      </c>
      <c r="P147" s="0" t="n">
        <v>4.92</v>
      </c>
      <c r="Q147" s="0" t="n">
        <v>4.81</v>
      </c>
      <c r="R147" s="0" t="s">
        <v>412</v>
      </c>
      <c r="S147" s="0" t="s">
        <v>188</v>
      </c>
      <c r="T147" s="0" t="s">
        <v>92</v>
      </c>
      <c r="U147" s="0" t="s">
        <v>93</v>
      </c>
      <c r="V147" s="0" t="n">
        <f aca="false">(I147/100 + O147/5) / 2</f>
        <v>0.992</v>
      </c>
      <c r="W147" s="0" t="n">
        <f aca="false">(J147/100 + P147/5) / 2</f>
        <v>0.992</v>
      </c>
      <c r="X147" s="0" t="n">
        <f aca="false">(K147/100 + Q147/5) / 2</f>
        <v>0.88115</v>
      </c>
    </row>
    <row r="148" customFormat="false" ht="12.8" hidden="false" customHeight="false" outlineLevel="0" collapsed="false">
      <c r="A148" s="0" t="s">
        <v>910</v>
      </c>
      <c r="B148" s="0" t="s">
        <v>911</v>
      </c>
      <c r="C148" s="0" t="s">
        <v>912</v>
      </c>
      <c r="D148" s="0" t="s">
        <v>913</v>
      </c>
      <c r="E148" s="0" t="s">
        <v>914</v>
      </c>
      <c r="F148" s="0" t="n">
        <v>1</v>
      </c>
      <c r="G148" s="0" t="n">
        <v>1</v>
      </c>
      <c r="H148" s="0" t="n">
        <v>1</v>
      </c>
      <c r="I148" s="0" t="n">
        <v>68.04</v>
      </c>
      <c r="J148" s="0" t="n">
        <v>68.04</v>
      </c>
      <c r="K148" s="0" t="n">
        <v>51.7</v>
      </c>
      <c r="L148" s="0" t="n">
        <v>0.93</v>
      </c>
      <c r="M148" s="0" t="n">
        <v>0.93</v>
      </c>
      <c r="N148" s="0" t="n">
        <v>0.89</v>
      </c>
      <c r="O148" s="0" t="n">
        <v>4.78</v>
      </c>
      <c r="P148" s="0" t="n">
        <v>4.85</v>
      </c>
      <c r="Q148" s="0" t="n">
        <v>4.62</v>
      </c>
      <c r="R148" s="0" t="s">
        <v>915</v>
      </c>
      <c r="S148" s="0" t="s">
        <v>27</v>
      </c>
      <c r="T148" s="0" t="s">
        <v>27</v>
      </c>
      <c r="U148" s="0" t="s">
        <v>93</v>
      </c>
      <c r="V148" s="0" t="n">
        <f aca="false">(I148/100 + O148/5) / 2</f>
        <v>0.8182</v>
      </c>
      <c r="W148" s="0" t="n">
        <f aca="false">(J148/100 + P148/5) / 2</f>
        <v>0.8252</v>
      </c>
      <c r="X148" s="0" t="n">
        <f aca="false">(K148/100 + Q148/5) / 2</f>
        <v>0.7205</v>
      </c>
    </row>
    <row r="149" customFormat="false" ht="12.8" hidden="false" customHeight="false" outlineLevel="0" collapsed="false">
      <c r="A149" s="0" t="s">
        <v>916</v>
      </c>
      <c r="B149" s="0" t="s">
        <v>917</v>
      </c>
      <c r="C149" s="0" t="s">
        <v>918</v>
      </c>
      <c r="D149" s="0" t="s">
        <v>919</v>
      </c>
      <c r="E149" s="0" t="s">
        <v>920</v>
      </c>
      <c r="F149" s="0" t="n">
        <v>1</v>
      </c>
      <c r="G149" s="0" t="n">
        <v>1</v>
      </c>
      <c r="H149" s="0" t="n">
        <v>1</v>
      </c>
      <c r="I149" s="0" t="n">
        <v>76.12</v>
      </c>
      <c r="J149" s="0" t="n">
        <v>100</v>
      </c>
      <c r="K149" s="0" t="n">
        <v>53.91</v>
      </c>
      <c r="L149" s="0" t="n">
        <v>0.96</v>
      </c>
      <c r="M149" s="0" t="n">
        <v>0.98</v>
      </c>
      <c r="N149" s="0" t="n">
        <v>0.92</v>
      </c>
      <c r="O149" s="0" t="n">
        <v>4.9</v>
      </c>
      <c r="P149" s="0" t="n">
        <v>4.98</v>
      </c>
      <c r="Q149" s="0" t="n">
        <v>4.81</v>
      </c>
      <c r="R149" s="0" t="s">
        <v>921</v>
      </c>
      <c r="S149" s="0" t="s">
        <v>188</v>
      </c>
      <c r="T149" s="0" t="s">
        <v>92</v>
      </c>
      <c r="U149" s="0" t="s">
        <v>93</v>
      </c>
      <c r="V149" s="0" t="n">
        <f aca="false">(I149/100 + O149/5) / 2</f>
        <v>0.8706</v>
      </c>
      <c r="W149" s="0" t="n">
        <f aca="false">(J149/100 + P149/5) / 2</f>
        <v>0.998</v>
      </c>
      <c r="X149" s="0" t="n">
        <f aca="false">(K149/100 + Q149/5) / 2</f>
        <v>0.75055</v>
      </c>
    </row>
    <row r="150" customFormat="false" ht="12.8" hidden="false" customHeight="false" outlineLevel="0" collapsed="false">
      <c r="A150" s="0" t="s">
        <v>922</v>
      </c>
      <c r="B150" s="0" t="s">
        <v>923</v>
      </c>
      <c r="C150" s="0" t="s">
        <v>924</v>
      </c>
      <c r="D150" s="0" t="s">
        <v>925</v>
      </c>
      <c r="E150" s="0" t="s">
        <v>926</v>
      </c>
      <c r="F150" s="0" t="n">
        <v>1</v>
      </c>
      <c r="G150" s="0" t="n">
        <v>0</v>
      </c>
      <c r="H150" s="0" t="n">
        <v>0</v>
      </c>
      <c r="I150" s="0" t="n">
        <v>80.91</v>
      </c>
      <c r="J150" s="0" t="n">
        <v>77.44</v>
      </c>
      <c r="K150" s="0" t="n">
        <v>77.44</v>
      </c>
      <c r="L150" s="0" t="n">
        <v>0.97</v>
      </c>
      <c r="M150" s="0" t="n">
        <v>0.96</v>
      </c>
      <c r="N150" s="0" t="n">
        <v>0.97</v>
      </c>
      <c r="O150" s="0" t="n">
        <v>4.76</v>
      </c>
      <c r="P150" s="0" t="n">
        <v>4.67</v>
      </c>
      <c r="Q150" s="0" t="n">
        <v>4.74</v>
      </c>
      <c r="R150" s="0" t="s">
        <v>927</v>
      </c>
      <c r="S150" s="0" t="s">
        <v>928</v>
      </c>
      <c r="T150" s="0" t="s">
        <v>929</v>
      </c>
      <c r="U150" s="0" t="s">
        <v>36</v>
      </c>
      <c r="V150" s="0" t="n">
        <f aca="false">(I150/100 + O150/5) / 2</f>
        <v>0.88055</v>
      </c>
      <c r="W150" s="0" t="n">
        <f aca="false">(J150/100 + P150/5) / 2</f>
        <v>0.8542</v>
      </c>
      <c r="X150" s="0" t="n">
        <f aca="false">(K150/100 + Q150/5) / 2</f>
        <v>0.8612</v>
      </c>
    </row>
    <row r="151" customFormat="false" ht="12.8" hidden="false" customHeight="false" outlineLevel="0" collapsed="false">
      <c r="A151" s="0" t="s">
        <v>930</v>
      </c>
      <c r="B151" s="0" t="s">
        <v>931</v>
      </c>
      <c r="C151" s="0" t="s">
        <v>932</v>
      </c>
      <c r="D151" s="0" t="s">
        <v>933</v>
      </c>
      <c r="E151" s="0" t="s">
        <v>934</v>
      </c>
      <c r="F151" s="0" t="n">
        <v>1</v>
      </c>
      <c r="G151" s="0" t="n">
        <v>1</v>
      </c>
      <c r="H151" s="0" t="n">
        <v>1</v>
      </c>
      <c r="I151" s="0" t="n">
        <v>42.4</v>
      </c>
      <c r="J151" s="0" t="n">
        <v>42.4</v>
      </c>
      <c r="K151" s="0" t="n">
        <v>41.11</v>
      </c>
      <c r="L151" s="0" t="n">
        <v>0.89</v>
      </c>
      <c r="M151" s="0" t="n">
        <v>0.89</v>
      </c>
      <c r="N151" s="0" t="n">
        <v>0.91</v>
      </c>
      <c r="O151" s="0" t="n">
        <v>4.52</v>
      </c>
      <c r="P151" s="0" t="n">
        <v>4.52</v>
      </c>
      <c r="Q151" s="0" t="n">
        <v>4.51</v>
      </c>
      <c r="R151" s="0" t="s">
        <v>92</v>
      </c>
      <c r="S151" s="0" t="s">
        <v>92</v>
      </c>
      <c r="T151" s="0" t="s">
        <v>26</v>
      </c>
      <c r="U151" s="0" t="s">
        <v>50</v>
      </c>
      <c r="V151" s="0" t="n">
        <f aca="false">(I151/100 + O151/5) / 2</f>
        <v>0.664</v>
      </c>
      <c r="W151" s="0" t="n">
        <f aca="false">(J151/100 + P151/5) / 2</f>
        <v>0.664</v>
      </c>
      <c r="X151" s="0" t="n">
        <f aca="false">(K151/100 + Q151/5) / 2</f>
        <v>0.65655</v>
      </c>
    </row>
    <row r="152" customFormat="false" ht="12.8" hidden="false" customHeight="false" outlineLevel="0" collapsed="false">
      <c r="A152" s="0" t="s">
        <v>935</v>
      </c>
      <c r="B152" s="0" t="s">
        <v>936</v>
      </c>
      <c r="C152" s="0" t="s">
        <v>937</v>
      </c>
      <c r="D152" s="0" t="s">
        <v>938</v>
      </c>
      <c r="E152" s="0" t="s">
        <v>938</v>
      </c>
      <c r="F152" s="0" t="n">
        <v>1</v>
      </c>
      <c r="G152" s="0" t="n">
        <v>0</v>
      </c>
      <c r="H152" s="0" t="n">
        <v>0</v>
      </c>
      <c r="I152" s="0" t="n">
        <v>64.35</v>
      </c>
      <c r="J152" s="0" t="n">
        <v>43.47</v>
      </c>
      <c r="K152" s="0" t="n">
        <v>43.47</v>
      </c>
      <c r="L152" s="0" t="n">
        <v>0.7</v>
      </c>
      <c r="M152" s="0" t="n">
        <v>0.64</v>
      </c>
      <c r="N152" s="0" t="n">
        <v>0.64</v>
      </c>
      <c r="O152" s="0" t="n">
        <v>3.98</v>
      </c>
      <c r="P152" s="0" t="n">
        <v>3.93</v>
      </c>
      <c r="Q152" s="0" t="n">
        <v>3.93</v>
      </c>
      <c r="R152" s="0" t="s">
        <v>939</v>
      </c>
      <c r="S152" s="0" t="s">
        <v>940</v>
      </c>
      <c r="T152" s="0" t="s">
        <v>941</v>
      </c>
      <c r="U152" s="0" t="s">
        <v>36</v>
      </c>
      <c r="V152" s="0" t="n">
        <f aca="false">(I152/100 + O152/5) / 2</f>
        <v>0.71975</v>
      </c>
      <c r="W152" s="0" t="n">
        <f aca="false">(J152/100 + P152/5) / 2</f>
        <v>0.61035</v>
      </c>
      <c r="X152" s="0" t="n">
        <f aca="false">(K152/100 + Q152/5) / 2</f>
        <v>0.61035</v>
      </c>
    </row>
    <row r="153" customFormat="false" ht="12.8" hidden="false" customHeight="false" outlineLevel="0" collapsed="false">
      <c r="A153" s="0" t="s">
        <v>942</v>
      </c>
      <c r="B153" s="0" t="s">
        <v>943</v>
      </c>
      <c r="C153" s="0" t="s">
        <v>944</v>
      </c>
      <c r="D153" s="0" t="s">
        <v>945</v>
      </c>
      <c r="E153" s="0" t="s">
        <v>945</v>
      </c>
      <c r="F153" s="0" t="n">
        <v>1</v>
      </c>
      <c r="G153" s="0" t="n">
        <v>1</v>
      </c>
      <c r="H153" s="0" t="n">
        <v>1</v>
      </c>
      <c r="I153" s="0" t="n">
        <v>70.71</v>
      </c>
      <c r="J153" s="0" t="n">
        <v>100</v>
      </c>
      <c r="K153" s="0" t="n">
        <v>100</v>
      </c>
      <c r="L153" s="0" t="n">
        <v>0.92</v>
      </c>
      <c r="M153" s="0" t="n">
        <v>0.98</v>
      </c>
      <c r="N153" s="0" t="n">
        <v>0.98</v>
      </c>
      <c r="O153" s="0" t="n">
        <v>4.78</v>
      </c>
      <c r="P153" s="0" t="n">
        <v>4.81</v>
      </c>
      <c r="Q153" s="0" t="n">
        <v>4.81</v>
      </c>
      <c r="R153" s="0" t="s">
        <v>741</v>
      </c>
      <c r="S153" s="0" t="s">
        <v>510</v>
      </c>
      <c r="T153" s="0" t="s">
        <v>26</v>
      </c>
      <c r="U153" s="0" t="s">
        <v>93</v>
      </c>
      <c r="V153" s="0" t="n">
        <f aca="false">(I153/100 + O153/5) / 2</f>
        <v>0.83155</v>
      </c>
      <c r="W153" s="0" t="n">
        <f aca="false">(J153/100 + P153/5) / 2</f>
        <v>0.981</v>
      </c>
      <c r="X153" s="0" t="n">
        <f aca="false">(K153/100 + Q153/5) / 2</f>
        <v>0.981</v>
      </c>
    </row>
    <row r="154" customFormat="false" ht="12.8" hidden="false" customHeight="false" outlineLevel="0" collapsed="false">
      <c r="A154" s="0" t="s">
        <v>946</v>
      </c>
      <c r="B154" s="0" t="s">
        <v>947</v>
      </c>
      <c r="C154" s="0" t="s">
        <v>948</v>
      </c>
      <c r="D154" s="0" t="s">
        <v>949</v>
      </c>
      <c r="E154" s="0" t="s">
        <v>949</v>
      </c>
      <c r="F154" s="0" t="n">
        <v>1</v>
      </c>
      <c r="G154" s="0" t="n">
        <v>1</v>
      </c>
      <c r="H154" s="0" t="n">
        <v>1</v>
      </c>
      <c r="I154" s="0" t="n">
        <v>58.14</v>
      </c>
      <c r="J154" s="0" t="n">
        <v>58.14</v>
      </c>
      <c r="K154" s="0" t="n">
        <v>58.14</v>
      </c>
      <c r="L154" s="0" t="n">
        <v>0.98</v>
      </c>
      <c r="M154" s="0" t="n">
        <v>0.98</v>
      </c>
      <c r="N154" s="0" t="n">
        <v>0.98</v>
      </c>
      <c r="O154" s="0" t="n">
        <v>4.25</v>
      </c>
      <c r="P154" s="0" t="n">
        <v>4.25</v>
      </c>
      <c r="Q154" s="0" t="n">
        <v>4.25</v>
      </c>
      <c r="R154" s="0" t="s">
        <v>26</v>
      </c>
      <c r="S154" s="0" t="s">
        <v>26</v>
      </c>
      <c r="T154" s="0" t="s">
        <v>26</v>
      </c>
      <c r="U154" s="0" t="s">
        <v>54</v>
      </c>
      <c r="V154" s="0" t="n">
        <f aca="false">(I154/100 + O154/5) / 2</f>
        <v>0.7157</v>
      </c>
      <c r="W154" s="0" t="n">
        <f aca="false">(J154/100 + P154/5) / 2</f>
        <v>0.7157</v>
      </c>
      <c r="X154" s="0" t="n">
        <f aca="false">(K154/100 + Q154/5) / 2</f>
        <v>0.7157</v>
      </c>
    </row>
    <row r="155" customFormat="false" ht="12.8" hidden="false" customHeight="false" outlineLevel="0" collapsed="false">
      <c r="A155" s="0" t="s">
        <v>950</v>
      </c>
      <c r="B155" s="0" t="s">
        <v>951</v>
      </c>
      <c r="C155" s="0" t="s">
        <v>952</v>
      </c>
      <c r="D155" s="0" t="s">
        <v>953</v>
      </c>
      <c r="E155" s="0" t="s">
        <v>954</v>
      </c>
      <c r="F155" s="0" t="n">
        <v>1</v>
      </c>
      <c r="G155" s="0" t="n">
        <v>1</v>
      </c>
      <c r="H155" s="0" t="n">
        <v>1</v>
      </c>
      <c r="I155" s="0" t="n">
        <v>39.28</v>
      </c>
      <c r="J155" s="0" t="n">
        <v>39.28</v>
      </c>
      <c r="K155" s="0" t="n">
        <v>37.99</v>
      </c>
      <c r="L155" s="0" t="n">
        <v>0.89</v>
      </c>
      <c r="M155" s="0" t="n">
        <v>0.89</v>
      </c>
      <c r="N155" s="0" t="n">
        <v>0.88</v>
      </c>
      <c r="O155" s="0" t="n">
        <v>4.63</v>
      </c>
      <c r="P155" s="0" t="n">
        <v>4.59</v>
      </c>
      <c r="Q155" s="0" t="n">
        <v>4.58</v>
      </c>
      <c r="R155" s="0" t="s">
        <v>92</v>
      </c>
      <c r="S155" s="0" t="s">
        <v>26</v>
      </c>
      <c r="T155" s="0" t="s">
        <v>26</v>
      </c>
      <c r="U155" s="0" t="s">
        <v>50</v>
      </c>
      <c r="V155" s="0" t="n">
        <f aca="false">(I155/100 + O155/5) / 2</f>
        <v>0.6594</v>
      </c>
      <c r="W155" s="0" t="n">
        <f aca="false">(J155/100 + P155/5) / 2</f>
        <v>0.6554</v>
      </c>
      <c r="X155" s="0" t="n">
        <f aca="false">(K155/100 + Q155/5) / 2</f>
        <v>0.64795</v>
      </c>
    </row>
    <row r="156" customFormat="false" ht="12.8" hidden="false" customHeight="false" outlineLevel="0" collapsed="false">
      <c r="A156" s="0" t="s">
        <v>955</v>
      </c>
      <c r="B156" s="0" t="s">
        <v>956</v>
      </c>
      <c r="C156" s="0" t="s">
        <v>956</v>
      </c>
      <c r="D156" s="0" t="s">
        <v>957</v>
      </c>
      <c r="E156" s="0" t="s">
        <v>958</v>
      </c>
      <c r="F156" s="0" t="n">
        <v>1</v>
      </c>
      <c r="G156" s="0" t="n">
        <v>0</v>
      </c>
      <c r="H156" s="0" t="n">
        <v>0</v>
      </c>
      <c r="I156" s="0" t="n">
        <v>100</v>
      </c>
      <c r="J156" s="0" t="n">
        <v>19.64</v>
      </c>
      <c r="K156" s="0" t="n">
        <v>20.25</v>
      </c>
      <c r="L156" s="0" t="n">
        <v>0.99</v>
      </c>
      <c r="M156" s="0" t="n">
        <v>0.91</v>
      </c>
      <c r="N156" s="0" t="n">
        <v>0.66</v>
      </c>
      <c r="O156" s="0" t="n">
        <v>4.88</v>
      </c>
      <c r="P156" s="0" t="n">
        <v>3.83</v>
      </c>
      <c r="Q156" s="0" t="n">
        <v>3.51</v>
      </c>
      <c r="R156" s="0" t="s">
        <v>959</v>
      </c>
      <c r="S156" s="0" t="s">
        <v>960</v>
      </c>
      <c r="T156" s="0" t="s">
        <v>961</v>
      </c>
      <c r="U156" s="0" t="s">
        <v>36</v>
      </c>
      <c r="V156" s="0" t="n">
        <f aca="false">(I156/100 + O156/5) / 2</f>
        <v>0.988</v>
      </c>
      <c r="W156" s="0" t="n">
        <f aca="false">(J156/100 + P156/5) / 2</f>
        <v>0.4812</v>
      </c>
      <c r="X156" s="0" t="n">
        <f aca="false">(K156/100 + Q156/5) / 2</f>
        <v>0.45225</v>
      </c>
    </row>
    <row r="157" customFormat="false" ht="12.8" hidden="false" customHeight="false" outlineLevel="0" collapsed="false">
      <c r="A157" s="0" t="s">
        <v>962</v>
      </c>
      <c r="B157" s="0" t="s">
        <v>963</v>
      </c>
      <c r="C157" s="0" t="s">
        <v>964</v>
      </c>
      <c r="D157" s="0" t="s">
        <v>965</v>
      </c>
      <c r="E157" s="0" t="s">
        <v>966</v>
      </c>
      <c r="F157" s="0" t="n">
        <v>1</v>
      </c>
      <c r="G157" s="0" t="n">
        <v>1</v>
      </c>
      <c r="H157" s="0" t="n">
        <v>1</v>
      </c>
      <c r="I157" s="0" t="n">
        <v>54.52</v>
      </c>
      <c r="J157" s="0" t="n">
        <v>43.67</v>
      </c>
      <c r="K157" s="0" t="n">
        <v>36.62</v>
      </c>
      <c r="L157" s="0" t="n">
        <v>0.94</v>
      </c>
      <c r="M157" s="0" t="n">
        <v>0.87</v>
      </c>
      <c r="N157" s="0" t="n">
        <v>0.84</v>
      </c>
      <c r="O157" s="0" t="n">
        <v>4.86</v>
      </c>
      <c r="P157" s="0" t="n">
        <v>4.85</v>
      </c>
      <c r="Q157" s="0" t="n">
        <v>4.77</v>
      </c>
      <c r="R157" s="0" t="s">
        <v>473</v>
      </c>
      <c r="S157" s="0" t="s">
        <v>967</v>
      </c>
      <c r="T157" s="0" t="s">
        <v>26</v>
      </c>
      <c r="U157" s="0" t="s">
        <v>93</v>
      </c>
      <c r="V157" s="0" t="n">
        <f aca="false">(I157/100 + O157/5) / 2</f>
        <v>0.7586</v>
      </c>
      <c r="W157" s="0" t="n">
        <f aca="false">(J157/100 + P157/5) / 2</f>
        <v>0.70335</v>
      </c>
      <c r="X157" s="0" t="n">
        <f aca="false">(K157/100 + Q157/5) / 2</f>
        <v>0.6601</v>
      </c>
    </row>
    <row r="158" customFormat="false" ht="12.8" hidden="false" customHeight="false" outlineLevel="0" collapsed="false">
      <c r="A158" s="0" t="s">
        <v>968</v>
      </c>
      <c r="B158" s="0" t="s">
        <v>969</v>
      </c>
      <c r="C158" s="0" t="s">
        <v>969</v>
      </c>
      <c r="D158" s="0" t="s">
        <v>970</v>
      </c>
      <c r="E158" s="0" t="s">
        <v>970</v>
      </c>
      <c r="F158" s="0" t="n">
        <v>1</v>
      </c>
      <c r="G158" s="0" t="n">
        <v>1</v>
      </c>
      <c r="H158" s="0" t="n">
        <v>1</v>
      </c>
      <c r="I158" s="0" t="n">
        <v>100</v>
      </c>
      <c r="J158" s="0" t="n">
        <v>100</v>
      </c>
      <c r="K158" s="0" t="n">
        <v>100</v>
      </c>
      <c r="L158" s="0" t="n">
        <v>0.96</v>
      </c>
      <c r="M158" s="0" t="n">
        <v>0.96</v>
      </c>
      <c r="N158" s="0" t="n">
        <v>0.96</v>
      </c>
      <c r="O158" s="0" t="n">
        <v>5.32</v>
      </c>
      <c r="P158" s="0" t="n">
        <v>5.32</v>
      </c>
      <c r="Q158" s="0" t="n">
        <v>5.32</v>
      </c>
      <c r="R158" s="0" t="s">
        <v>26</v>
      </c>
      <c r="S158" s="0" t="s">
        <v>26</v>
      </c>
      <c r="T158" s="0" t="s">
        <v>26</v>
      </c>
      <c r="U158" s="0" t="s">
        <v>54</v>
      </c>
      <c r="V158" s="0" t="n">
        <f aca="false">(I158/100 + O158/5) / 2</f>
        <v>1.032</v>
      </c>
      <c r="W158" s="0" t="n">
        <f aca="false">(J158/100 + P158/5) / 2</f>
        <v>1.032</v>
      </c>
      <c r="X158" s="0" t="n">
        <f aca="false">(K158/100 + Q158/5) / 2</f>
        <v>1.032</v>
      </c>
    </row>
    <row r="159" customFormat="false" ht="12.8" hidden="false" customHeight="false" outlineLevel="0" collapsed="false">
      <c r="A159" s="0" t="s">
        <v>971</v>
      </c>
      <c r="B159" s="0" t="s">
        <v>972</v>
      </c>
      <c r="C159" s="0" t="s">
        <v>972</v>
      </c>
      <c r="D159" s="0" t="s">
        <v>973</v>
      </c>
      <c r="E159" s="0" t="s">
        <v>973</v>
      </c>
      <c r="F159" s="0" t="n">
        <v>1</v>
      </c>
      <c r="G159" s="0" t="n">
        <v>1</v>
      </c>
      <c r="H159" s="0" t="n">
        <v>1</v>
      </c>
      <c r="I159" s="0" t="n">
        <v>100</v>
      </c>
      <c r="J159" s="0" t="n">
        <v>100</v>
      </c>
      <c r="K159" s="0" t="n">
        <v>100</v>
      </c>
      <c r="L159" s="0" t="n">
        <v>0.98</v>
      </c>
      <c r="M159" s="0" t="n">
        <v>0.98</v>
      </c>
      <c r="N159" s="0" t="n">
        <v>0.98</v>
      </c>
      <c r="O159" s="0" t="n">
        <v>4.77</v>
      </c>
      <c r="P159" s="0" t="n">
        <v>4.77</v>
      </c>
      <c r="Q159" s="0" t="n">
        <v>4.77</v>
      </c>
      <c r="R159" s="0" t="s">
        <v>26</v>
      </c>
      <c r="S159" s="0" t="s">
        <v>26</v>
      </c>
      <c r="T159" s="0" t="s">
        <v>26</v>
      </c>
      <c r="U159" s="0" t="s">
        <v>54</v>
      </c>
      <c r="V159" s="0" t="n">
        <f aca="false">(I159/100 + O159/5) / 2</f>
        <v>0.977</v>
      </c>
      <c r="W159" s="0" t="n">
        <f aca="false">(J159/100 + P159/5) / 2</f>
        <v>0.977</v>
      </c>
      <c r="X159" s="0" t="n">
        <f aca="false">(K159/100 + Q159/5) / 2</f>
        <v>0.977</v>
      </c>
    </row>
    <row r="160" customFormat="false" ht="12.8" hidden="false" customHeight="false" outlineLevel="0" collapsed="false">
      <c r="A160" s="0" t="s">
        <v>974</v>
      </c>
      <c r="B160" s="0" t="s">
        <v>975</v>
      </c>
      <c r="C160" s="0" t="s">
        <v>976</v>
      </c>
      <c r="D160" s="0" t="s">
        <v>977</v>
      </c>
      <c r="E160" s="0" t="s">
        <v>977</v>
      </c>
      <c r="F160" s="0" t="n">
        <v>1</v>
      </c>
      <c r="G160" s="0" t="n">
        <v>0</v>
      </c>
      <c r="H160" s="0" t="n">
        <v>0</v>
      </c>
      <c r="I160" s="0" t="n">
        <v>70.71</v>
      </c>
      <c r="J160" s="0" t="n">
        <v>23.74</v>
      </c>
      <c r="K160" s="0" t="n">
        <v>23.74</v>
      </c>
      <c r="L160" s="0" t="n">
        <v>0.93</v>
      </c>
      <c r="M160" s="0" t="n">
        <v>0.91</v>
      </c>
      <c r="N160" s="0" t="n">
        <v>0.91</v>
      </c>
      <c r="O160" s="0" t="n">
        <v>4.59</v>
      </c>
      <c r="P160" s="0" t="n">
        <v>4.36</v>
      </c>
      <c r="Q160" s="0" t="n">
        <v>4.36</v>
      </c>
      <c r="R160" s="0" t="s">
        <v>978</v>
      </c>
      <c r="S160" s="0" t="s">
        <v>979</v>
      </c>
      <c r="T160" s="0" t="s">
        <v>980</v>
      </c>
      <c r="U160" s="0" t="s">
        <v>36</v>
      </c>
      <c r="V160" s="0" t="n">
        <f aca="false">(I160/100 + O160/5) / 2</f>
        <v>0.81255</v>
      </c>
      <c r="W160" s="0" t="n">
        <f aca="false">(J160/100 + P160/5) / 2</f>
        <v>0.5547</v>
      </c>
      <c r="X160" s="0" t="n">
        <f aca="false">(K160/100 + Q160/5) / 2</f>
        <v>0.5547</v>
      </c>
    </row>
    <row r="161" customFormat="false" ht="12.8" hidden="false" customHeight="false" outlineLevel="0" collapsed="false">
      <c r="A161" s="0" t="s">
        <v>981</v>
      </c>
      <c r="B161" s="0" t="s">
        <v>982</v>
      </c>
      <c r="C161" s="0" t="s">
        <v>983</v>
      </c>
      <c r="D161" s="0" t="s">
        <v>984</v>
      </c>
      <c r="E161" s="0" t="s">
        <v>985</v>
      </c>
      <c r="F161" s="0" t="n">
        <v>1</v>
      </c>
      <c r="G161" s="0" t="n">
        <v>1</v>
      </c>
      <c r="H161" s="0" t="n">
        <v>1</v>
      </c>
      <c r="I161" s="0" t="n">
        <v>7.81</v>
      </c>
      <c r="J161" s="0" t="n">
        <v>22.96</v>
      </c>
      <c r="K161" s="0" t="n">
        <v>17.97</v>
      </c>
      <c r="L161" s="0" t="n">
        <v>0.74</v>
      </c>
      <c r="M161" s="0" t="n">
        <v>0.77</v>
      </c>
      <c r="N161" s="0" t="n">
        <v>0.8</v>
      </c>
      <c r="O161" s="0" t="n">
        <v>4.49</v>
      </c>
      <c r="P161" s="0" t="n">
        <v>4.6</v>
      </c>
      <c r="Q161" s="0" t="n">
        <v>4.58</v>
      </c>
      <c r="R161" s="0" t="s">
        <v>986</v>
      </c>
      <c r="S161" s="0" t="s">
        <v>385</v>
      </c>
      <c r="T161" s="0" t="s">
        <v>92</v>
      </c>
      <c r="U161" s="0" t="s">
        <v>93</v>
      </c>
      <c r="V161" s="0" t="n">
        <f aca="false">(I161/100 + O161/5) / 2</f>
        <v>0.48805</v>
      </c>
      <c r="W161" s="0" t="n">
        <f aca="false">(J161/100 + P161/5) / 2</f>
        <v>0.5748</v>
      </c>
      <c r="X161" s="0" t="n">
        <f aca="false">(K161/100 + Q161/5) / 2</f>
        <v>0.54785</v>
      </c>
    </row>
    <row r="162" customFormat="false" ht="12.8" hidden="false" customHeight="false" outlineLevel="0" collapsed="false">
      <c r="A162" s="0" t="s">
        <v>987</v>
      </c>
      <c r="B162" s="0" t="s">
        <v>988</v>
      </c>
      <c r="C162" s="0" t="s">
        <v>989</v>
      </c>
      <c r="D162" s="0" t="s">
        <v>990</v>
      </c>
      <c r="E162" s="0" t="s">
        <v>991</v>
      </c>
      <c r="F162" s="0" t="n">
        <v>1</v>
      </c>
      <c r="G162" s="0" t="n">
        <v>1</v>
      </c>
      <c r="H162" s="0" t="n">
        <v>0</v>
      </c>
      <c r="I162" s="0" t="n">
        <v>43.47</v>
      </c>
      <c r="J162" s="0" t="n">
        <v>15.21</v>
      </c>
      <c r="K162" s="0" t="n">
        <v>15.21</v>
      </c>
      <c r="L162" s="0" t="n">
        <v>0.88</v>
      </c>
      <c r="M162" s="0" t="n">
        <v>0.85</v>
      </c>
      <c r="N162" s="0" t="n">
        <v>0.74</v>
      </c>
      <c r="O162" s="0" t="n">
        <v>3.85</v>
      </c>
      <c r="P162" s="0" t="n">
        <v>3.72</v>
      </c>
      <c r="Q162" s="0" t="n">
        <v>3.81</v>
      </c>
      <c r="R162" s="0" t="s">
        <v>992</v>
      </c>
      <c r="S162" s="0" t="s">
        <v>992</v>
      </c>
      <c r="T162" s="0" t="s">
        <v>993</v>
      </c>
      <c r="U162" s="0" t="s">
        <v>28</v>
      </c>
      <c r="V162" s="0" t="n">
        <f aca="false">(I162/100 + O162/5) / 2</f>
        <v>0.60235</v>
      </c>
      <c r="W162" s="0" t="n">
        <f aca="false">(J162/100 + P162/5) / 2</f>
        <v>0.44805</v>
      </c>
      <c r="X162" s="0" t="n">
        <f aca="false">(K162/100 + Q162/5) / 2</f>
        <v>0.45705</v>
      </c>
    </row>
    <row r="163" customFormat="false" ht="12.8" hidden="false" customHeight="false" outlineLevel="0" collapsed="false">
      <c r="A163" s="0" t="s">
        <v>994</v>
      </c>
      <c r="B163" s="0" t="s">
        <v>995</v>
      </c>
      <c r="C163" s="0" t="s">
        <v>996</v>
      </c>
      <c r="D163" s="0" t="s">
        <v>997</v>
      </c>
      <c r="E163" s="0" t="s">
        <v>998</v>
      </c>
      <c r="F163" s="0" t="n">
        <v>1</v>
      </c>
      <c r="G163" s="0" t="n">
        <v>0</v>
      </c>
      <c r="H163" s="0" t="n">
        <v>0</v>
      </c>
      <c r="I163" s="0" t="n">
        <v>59.69</v>
      </c>
      <c r="J163" s="0" t="n">
        <v>43.17</v>
      </c>
      <c r="K163" s="0" t="n">
        <v>43.17</v>
      </c>
      <c r="L163" s="0" t="n">
        <v>0.91</v>
      </c>
      <c r="M163" s="0" t="n">
        <v>0.84</v>
      </c>
      <c r="N163" s="0" t="n">
        <v>0.91</v>
      </c>
      <c r="O163" s="0" t="n">
        <v>4.66</v>
      </c>
      <c r="P163" s="0" t="n">
        <v>4.23</v>
      </c>
      <c r="Q163" s="0" t="n">
        <v>4.35</v>
      </c>
      <c r="R163" s="0" t="s">
        <v>999</v>
      </c>
      <c r="S163" s="0" t="s">
        <v>1000</v>
      </c>
      <c r="T163" s="0" t="s">
        <v>1001</v>
      </c>
      <c r="U163" s="0" t="s">
        <v>36</v>
      </c>
      <c r="V163" s="0" t="n">
        <f aca="false">(I163/100 + O163/5) / 2</f>
        <v>0.76445</v>
      </c>
      <c r="W163" s="0" t="n">
        <f aca="false">(J163/100 + P163/5) / 2</f>
        <v>0.63885</v>
      </c>
      <c r="X163" s="0" t="n">
        <f aca="false">(K163/100 + Q163/5) / 2</f>
        <v>0.65085</v>
      </c>
    </row>
    <row r="164" customFormat="false" ht="12.8" hidden="false" customHeight="false" outlineLevel="0" collapsed="false">
      <c r="A164" s="0" t="s">
        <v>1002</v>
      </c>
      <c r="B164" s="0" t="s">
        <v>1003</v>
      </c>
      <c r="C164" s="0" t="s">
        <v>1003</v>
      </c>
      <c r="D164" s="0" t="s">
        <v>1004</v>
      </c>
      <c r="E164" s="0" t="s">
        <v>1005</v>
      </c>
      <c r="F164" s="0" t="n">
        <v>1</v>
      </c>
      <c r="G164" s="0" t="n">
        <v>0</v>
      </c>
      <c r="H164" s="0" t="n">
        <v>1</v>
      </c>
      <c r="I164" s="0" t="n">
        <v>100</v>
      </c>
      <c r="J164" s="0" t="n">
        <v>79.11</v>
      </c>
      <c r="K164" s="0" t="n">
        <v>53.82</v>
      </c>
      <c r="L164" s="0" t="n">
        <v>0.97</v>
      </c>
      <c r="M164" s="0" t="n">
        <v>0.94</v>
      </c>
      <c r="N164" s="0" t="n">
        <v>0.92</v>
      </c>
      <c r="O164" s="0" t="n">
        <v>4.82</v>
      </c>
      <c r="P164" s="0" t="n">
        <v>4.8</v>
      </c>
      <c r="Q164" s="0" t="n">
        <v>4.44</v>
      </c>
      <c r="R164" s="0" t="s">
        <v>1006</v>
      </c>
      <c r="S164" s="0" t="s">
        <v>1007</v>
      </c>
      <c r="T164" s="0" t="s">
        <v>1008</v>
      </c>
      <c r="U164" s="0" t="s">
        <v>28</v>
      </c>
      <c r="V164" s="0" t="n">
        <f aca="false">(I164/100 + O164/5) / 2</f>
        <v>0.982</v>
      </c>
      <c r="W164" s="0" t="n">
        <f aca="false">(J164/100 + P164/5) / 2</f>
        <v>0.87555</v>
      </c>
      <c r="X164" s="0" t="n">
        <f aca="false">(K164/100 + Q164/5) / 2</f>
        <v>0.7131</v>
      </c>
    </row>
    <row r="165" customFormat="false" ht="12.8" hidden="false" customHeight="false" outlineLevel="0" collapsed="false">
      <c r="A165" s="0" t="s">
        <v>1009</v>
      </c>
      <c r="B165" s="0" t="s">
        <v>1010</v>
      </c>
      <c r="C165" s="0" t="s">
        <v>1011</v>
      </c>
      <c r="D165" s="0" t="s">
        <v>1012</v>
      </c>
      <c r="E165" s="0" t="s">
        <v>1013</v>
      </c>
      <c r="F165" s="0" t="n">
        <v>0</v>
      </c>
      <c r="G165" s="0" t="n">
        <v>0</v>
      </c>
      <c r="H165" s="0" t="n">
        <v>0</v>
      </c>
      <c r="I165" s="0" t="n">
        <v>85.55</v>
      </c>
      <c r="J165" s="0" t="n">
        <v>85.55</v>
      </c>
      <c r="K165" s="0" t="n">
        <v>13.38</v>
      </c>
      <c r="L165" s="0" t="n">
        <v>0.9</v>
      </c>
      <c r="M165" s="0" t="n">
        <v>0.88</v>
      </c>
      <c r="N165" s="0" t="n">
        <v>0.63</v>
      </c>
      <c r="O165" s="0" t="n">
        <v>4.18</v>
      </c>
      <c r="P165" s="0" t="n">
        <v>3.97</v>
      </c>
      <c r="Q165" s="0" t="n">
        <v>3.95</v>
      </c>
      <c r="R165" s="0" t="s">
        <v>378</v>
      </c>
      <c r="S165" s="0" t="s">
        <v>378</v>
      </c>
      <c r="T165" s="0" t="s">
        <v>378</v>
      </c>
      <c r="U165" s="0" t="s">
        <v>54</v>
      </c>
      <c r="V165" s="0" t="n">
        <f aca="false">(I165/100 + O165/5) / 2</f>
        <v>0.84575</v>
      </c>
      <c r="W165" s="0" t="n">
        <f aca="false">(J165/100 + P165/5) / 2</f>
        <v>0.82475</v>
      </c>
      <c r="X165" s="0" t="n">
        <f aca="false">(K165/100 + Q165/5) / 2</f>
        <v>0.4619</v>
      </c>
    </row>
    <row r="166" customFormat="false" ht="12.8" hidden="false" customHeight="false" outlineLevel="0" collapsed="false">
      <c r="A166" s="0" t="s">
        <v>1014</v>
      </c>
      <c r="B166" s="0" t="s">
        <v>1015</v>
      </c>
      <c r="C166" s="0" t="s">
        <v>1015</v>
      </c>
      <c r="D166" s="0" t="s">
        <v>1016</v>
      </c>
      <c r="E166" s="0" t="s">
        <v>1017</v>
      </c>
      <c r="F166" s="0" t="n">
        <v>1</v>
      </c>
      <c r="G166" s="0" t="n">
        <v>1</v>
      </c>
      <c r="H166" s="0" t="n">
        <v>0</v>
      </c>
      <c r="I166" s="0" t="n">
        <v>100</v>
      </c>
      <c r="J166" s="0" t="n">
        <v>100</v>
      </c>
      <c r="K166" s="0" t="n">
        <v>10.18</v>
      </c>
      <c r="L166" s="0" t="n">
        <v>0.98</v>
      </c>
      <c r="M166" s="0" t="n">
        <v>0.98</v>
      </c>
      <c r="N166" s="0" t="n">
        <v>0.68</v>
      </c>
      <c r="O166" s="0" t="n">
        <v>4.78</v>
      </c>
      <c r="P166" s="0" t="n">
        <v>4.78</v>
      </c>
      <c r="Q166" s="0" t="n">
        <v>3.9</v>
      </c>
      <c r="R166" s="0" t="s">
        <v>509</v>
      </c>
      <c r="S166" s="0" t="s">
        <v>1018</v>
      </c>
      <c r="T166" s="0" t="s">
        <v>1019</v>
      </c>
      <c r="U166" s="0" t="s">
        <v>36</v>
      </c>
      <c r="V166" s="0" t="n">
        <f aca="false">(I166/100 + O166/5) / 2</f>
        <v>0.978</v>
      </c>
      <c r="W166" s="0" t="n">
        <f aca="false">(J166/100 + P166/5) / 2</f>
        <v>0.978</v>
      </c>
      <c r="X166" s="0" t="n">
        <f aca="false">(K166/100 + Q166/5) / 2</f>
        <v>0.4409</v>
      </c>
    </row>
    <row r="167" customFormat="false" ht="12.8" hidden="false" customHeight="false" outlineLevel="0" collapsed="false">
      <c r="A167" s="0" t="s">
        <v>1020</v>
      </c>
      <c r="B167" s="0" t="s">
        <v>1021</v>
      </c>
      <c r="C167" s="0" t="s">
        <v>1021</v>
      </c>
      <c r="D167" s="0" t="s">
        <v>1022</v>
      </c>
      <c r="E167" s="0" t="s">
        <v>1023</v>
      </c>
      <c r="F167" s="0" t="n">
        <v>1</v>
      </c>
      <c r="G167" s="0" t="n">
        <v>1</v>
      </c>
      <c r="H167" s="0" t="n">
        <v>1</v>
      </c>
      <c r="I167" s="0" t="n">
        <v>100</v>
      </c>
      <c r="J167" s="0" t="n">
        <v>100</v>
      </c>
      <c r="K167" s="0" t="n">
        <v>65.8</v>
      </c>
      <c r="L167" s="0" t="n">
        <v>0.98</v>
      </c>
      <c r="M167" s="0" t="n">
        <v>0.98</v>
      </c>
      <c r="N167" s="0" t="n">
        <v>0.97</v>
      </c>
      <c r="O167" s="0" t="n">
        <v>4.9</v>
      </c>
      <c r="P167" s="0" t="n">
        <v>4.9</v>
      </c>
      <c r="Q167" s="0" t="n">
        <v>4.87</v>
      </c>
      <c r="R167" s="0" t="s">
        <v>1024</v>
      </c>
      <c r="S167" s="0" t="s">
        <v>26</v>
      </c>
      <c r="T167" s="0" t="s">
        <v>26</v>
      </c>
      <c r="U167" s="0" t="s">
        <v>50</v>
      </c>
      <c r="V167" s="0" t="n">
        <f aca="false">(I167/100 + O167/5) / 2</f>
        <v>0.99</v>
      </c>
      <c r="W167" s="0" t="n">
        <f aca="false">(J167/100 + P167/5) / 2</f>
        <v>0.99</v>
      </c>
      <c r="X167" s="0" t="n">
        <f aca="false">(K167/100 + Q167/5) / 2</f>
        <v>0.816</v>
      </c>
    </row>
    <row r="168" customFormat="false" ht="12.8" hidden="false" customHeight="false" outlineLevel="0" collapsed="false">
      <c r="A168" s="0" t="s">
        <v>1025</v>
      </c>
      <c r="B168" s="0" t="s">
        <v>1026</v>
      </c>
      <c r="C168" s="0" t="s">
        <v>1027</v>
      </c>
      <c r="D168" s="0" t="s">
        <v>1028</v>
      </c>
      <c r="E168" s="0" t="s">
        <v>1029</v>
      </c>
      <c r="F168" s="0" t="n">
        <v>0</v>
      </c>
      <c r="G168" s="0" t="n">
        <v>0</v>
      </c>
      <c r="H168" s="0" t="n">
        <v>1</v>
      </c>
      <c r="I168" s="0" t="n">
        <v>14.26</v>
      </c>
      <c r="J168" s="0" t="n">
        <v>37.68</v>
      </c>
      <c r="K168" s="0" t="n">
        <v>100</v>
      </c>
      <c r="L168" s="0" t="n">
        <v>0.95</v>
      </c>
      <c r="M168" s="0" t="n">
        <v>0.91</v>
      </c>
      <c r="N168" s="0" t="n">
        <v>0.99</v>
      </c>
      <c r="O168" s="0" t="n">
        <v>4.39</v>
      </c>
      <c r="P168" s="0" t="n">
        <v>4.27</v>
      </c>
      <c r="Q168" s="0" t="n">
        <v>4.61</v>
      </c>
      <c r="R168" s="0" t="s">
        <v>1030</v>
      </c>
      <c r="S168" s="0" t="s">
        <v>1031</v>
      </c>
      <c r="T168" s="0" t="s">
        <v>725</v>
      </c>
      <c r="U168" s="0" t="s">
        <v>36</v>
      </c>
      <c r="V168" s="0" t="n">
        <f aca="false">(I168/100 + O168/5) / 2</f>
        <v>0.5103</v>
      </c>
      <c r="W168" s="0" t="n">
        <f aca="false">(J168/100 + P168/5) / 2</f>
        <v>0.6154</v>
      </c>
      <c r="X168" s="0" t="n">
        <f aca="false">(K168/100 + Q168/5) / 2</f>
        <v>0.961</v>
      </c>
    </row>
    <row r="169" customFormat="false" ht="12.8" hidden="false" customHeight="false" outlineLevel="0" collapsed="false">
      <c r="A169" s="0" t="s">
        <v>1032</v>
      </c>
      <c r="B169" s="0" t="s">
        <v>1033</v>
      </c>
      <c r="C169" s="0" t="s">
        <v>1034</v>
      </c>
      <c r="D169" s="0" t="s">
        <v>1035</v>
      </c>
      <c r="E169" s="0" t="s">
        <v>1036</v>
      </c>
      <c r="F169" s="0" t="n">
        <v>1</v>
      </c>
      <c r="G169" s="0" t="n">
        <v>1</v>
      </c>
      <c r="H169" s="0" t="n">
        <v>1</v>
      </c>
      <c r="I169" s="0" t="n">
        <v>19.64</v>
      </c>
      <c r="J169" s="0" t="n">
        <v>64.35</v>
      </c>
      <c r="K169" s="0" t="n">
        <v>16.34</v>
      </c>
      <c r="L169" s="0" t="n">
        <v>0.68</v>
      </c>
      <c r="M169" s="0" t="n">
        <v>0.75</v>
      </c>
      <c r="N169" s="0" t="n">
        <v>0.8</v>
      </c>
      <c r="O169" s="0" t="n">
        <v>4.61</v>
      </c>
      <c r="P169" s="0" t="n">
        <v>4.61</v>
      </c>
      <c r="Q169" s="0" t="n">
        <v>4.56</v>
      </c>
      <c r="R169" s="0" t="s">
        <v>1037</v>
      </c>
      <c r="S169" s="0" t="s">
        <v>91</v>
      </c>
      <c r="T169" s="0" t="s">
        <v>26</v>
      </c>
      <c r="U169" s="0" t="s">
        <v>93</v>
      </c>
      <c r="V169" s="0" t="n">
        <f aca="false">(I169/100 + O169/5) / 2</f>
        <v>0.5592</v>
      </c>
      <c r="W169" s="0" t="n">
        <f aca="false">(J169/100 + P169/5) / 2</f>
        <v>0.78275</v>
      </c>
      <c r="X169" s="0" t="n">
        <f aca="false">(K169/100 + Q169/5) / 2</f>
        <v>0.5377</v>
      </c>
    </row>
    <row r="170" customFormat="false" ht="12.8" hidden="false" customHeight="false" outlineLevel="0" collapsed="false">
      <c r="A170" s="0" t="s">
        <v>1038</v>
      </c>
      <c r="B170" s="0" t="s">
        <v>1039</v>
      </c>
      <c r="C170" s="0" t="s">
        <v>1039</v>
      </c>
      <c r="D170" s="0" t="s">
        <v>1040</v>
      </c>
      <c r="E170" s="0" t="s">
        <v>1041</v>
      </c>
      <c r="F170" s="0" t="n">
        <v>1</v>
      </c>
      <c r="G170" s="0" t="n">
        <v>1</v>
      </c>
      <c r="H170" s="0" t="n">
        <v>1</v>
      </c>
      <c r="I170" s="0" t="n">
        <v>100</v>
      </c>
      <c r="J170" s="0" t="n">
        <v>70.71</v>
      </c>
      <c r="K170" s="0" t="n">
        <v>100</v>
      </c>
      <c r="L170" s="0" t="n">
        <v>0.97</v>
      </c>
      <c r="M170" s="0" t="n">
        <v>0.7</v>
      </c>
      <c r="N170" s="0" t="n">
        <v>0.97</v>
      </c>
      <c r="O170" s="0" t="n">
        <v>4.62</v>
      </c>
      <c r="P170" s="0" t="n">
        <v>3.5</v>
      </c>
      <c r="Q170" s="0" t="n">
        <v>4.62</v>
      </c>
      <c r="R170" s="0" t="s">
        <v>741</v>
      </c>
      <c r="S170" s="0" t="s">
        <v>1042</v>
      </c>
      <c r="T170" s="0" t="s">
        <v>824</v>
      </c>
      <c r="U170" s="0" t="s">
        <v>93</v>
      </c>
      <c r="V170" s="0" t="n">
        <f aca="false">(I170/100 + O170/5) / 2</f>
        <v>0.962</v>
      </c>
      <c r="W170" s="0" t="n">
        <f aca="false">(J170/100 + P170/5) / 2</f>
        <v>0.70355</v>
      </c>
      <c r="X170" s="0" t="n">
        <f aca="false">(K170/100 + Q170/5) / 2</f>
        <v>0.962</v>
      </c>
    </row>
    <row r="171" customFormat="false" ht="12.8" hidden="false" customHeight="false" outlineLevel="0" collapsed="false">
      <c r="A171" s="0" t="s">
        <v>1043</v>
      </c>
      <c r="B171" s="0" t="s">
        <v>1044</v>
      </c>
      <c r="C171" s="0" t="s">
        <v>1045</v>
      </c>
      <c r="D171" s="0" t="s">
        <v>1046</v>
      </c>
      <c r="E171" s="0" t="s">
        <v>1047</v>
      </c>
      <c r="F171" s="0" t="n">
        <v>1</v>
      </c>
      <c r="G171" s="0" t="n">
        <v>1</v>
      </c>
      <c r="H171" s="0" t="n">
        <v>1</v>
      </c>
      <c r="I171" s="0" t="n">
        <v>65.8</v>
      </c>
      <c r="J171" s="0" t="n">
        <v>100</v>
      </c>
      <c r="K171" s="0" t="n">
        <v>52.54</v>
      </c>
      <c r="L171" s="0" t="n">
        <v>0.91</v>
      </c>
      <c r="M171" s="0" t="n">
        <v>0.97</v>
      </c>
      <c r="N171" s="0" t="n">
        <v>0.89</v>
      </c>
      <c r="O171" s="0" t="n">
        <v>4.65</v>
      </c>
      <c r="P171" s="0" t="n">
        <v>4.68</v>
      </c>
      <c r="Q171" s="0" t="n">
        <v>4.65</v>
      </c>
      <c r="R171" s="0" t="s">
        <v>1048</v>
      </c>
      <c r="S171" s="0" t="s">
        <v>327</v>
      </c>
      <c r="T171" s="0" t="s">
        <v>26</v>
      </c>
      <c r="U171" s="0" t="s">
        <v>93</v>
      </c>
      <c r="V171" s="0" t="n">
        <f aca="false">(I171/100 + O171/5) / 2</f>
        <v>0.794</v>
      </c>
      <c r="W171" s="0" t="n">
        <f aca="false">(J171/100 + P171/5) / 2</f>
        <v>0.968</v>
      </c>
      <c r="X171" s="0" t="n">
        <f aca="false">(K171/100 + Q171/5) / 2</f>
        <v>0.7277</v>
      </c>
    </row>
    <row r="172" customFormat="false" ht="12.8" hidden="false" customHeight="false" outlineLevel="0" collapsed="false">
      <c r="A172" s="0" t="s">
        <v>1049</v>
      </c>
      <c r="B172" s="0" t="s">
        <v>1050</v>
      </c>
      <c r="C172" s="0" t="s">
        <v>1050</v>
      </c>
      <c r="D172" s="0" t="s">
        <v>1051</v>
      </c>
      <c r="E172" s="0" t="s">
        <v>1052</v>
      </c>
      <c r="F172" s="0" t="n">
        <v>1</v>
      </c>
      <c r="G172" s="0" t="n">
        <v>1</v>
      </c>
      <c r="H172" s="0" t="n">
        <v>1</v>
      </c>
      <c r="I172" s="0" t="n">
        <v>100</v>
      </c>
      <c r="J172" s="0" t="n">
        <v>37.99</v>
      </c>
      <c r="K172" s="0" t="n">
        <v>18.58</v>
      </c>
      <c r="L172" s="0" t="n">
        <v>0.99</v>
      </c>
      <c r="M172" s="0" t="n">
        <v>0.96</v>
      </c>
      <c r="N172" s="0" t="n">
        <v>0.92</v>
      </c>
      <c r="O172" s="0" t="n">
        <v>4.38</v>
      </c>
      <c r="P172" s="0" t="n">
        <v>4.44</v>
      </c>
      <c r="Q172" s="0" t="n">
        <v>4.27</v>
      </c>
      <c r="R172" s="0" t="s">
        <v>1053</v>
      </c>
      <c r="S172" s="0" t="s">
        <v>510</v>
      </c>
      <c r="T172" s="0" t="s">
        <v>92</v>
      </c>
      <c r="U172" s="0" t="s">
        <v>93</v>
      </c>
      <c r="V172" s="0" t="n">
        <f aca="false">(I172/100 + O172/5) / 2</f>
        <v>0.938</v>
      </c>
      <c r="W172" s="0" t="n">
        <f aca="false">(J172/100 + P172/5) / 2</f>
        <v>0.63395</v>
      </c>
      <c r="X172" s="0" t="n">
        <f aca="false">(K172/100 + Q172/5) / 2</f>
        <v>0.5199</v>
      </c>
    </row>
    <row r="173" customFormat="false" ht="12.8" hidden="false" customHeight="false" outlineLevel="0" collapsed="false">
      <c r="A173" s="0" t="s">
        <v>1054</v>
      </c>
      <c r="B173" s="0" t="s">
        <v>1055</v>
      </c>
      <c r="C173" s="0" t="s">
        <v>1055</v>
      </c>
      <c r="D173" s="0" t="s">
        <v>1056</v>
      </c>
      <c r="E173" s="0" t="s">
        <v>1057</v>
      </c>
      <c r="F173" s="0" t="n">
        <v>1</v>
      </c>
      <c r="G173" s="0" t="n">
        <v>1</v>
      </c>
      <c r="H173" s="0" t="n">
        <v>1</v>
      </c>
      <c r="I173" s="0" t="n">
        <v>100</v>
      </c>
      <c r="J173" s="0" t="n">
        <v>100</v>
      </c>
      <c r="K173" s="0" t="n">
        <v>16.78</v>
      </c>
      <c r="L173" s="0" t="n">
        <v>0.98</v>
      </c>
      <c r="M173" s="0" t="n">
        <v>0.98</v>
      </c>
      <c r="N173" s="0" t="n">
        <v>0.86</v>
      </c>
      <c r="O173" s="0" t="n">
        <v>4.82</v>
      </c>
      <c r="P173" s="0" t="n">
        <v>4.82</v>
      </c>
      <c r="Q173" s="0" t="n">
        <v>4.23</v>
      </c>
      <c r="R173" s="0" t="s">
        <v>1058</v>
      </c>
      <c r="S173" s="0" t="s">
        <v>1059</v>
      </c>
      <c r="T173" s="0" t="s">
        <v>1059</v>
      </c>
      <c r="U173" s="0" t="s">
        <v>93</v>
      </c>
      <c r="V173" s="0" t="n">
        <f aca="false">(I173/100 + O173/5) / 2</f>
        <v>0.982</v>
      </c>
      <c r="W173" s="0" t="n">
        <f aca="false">(J173/100 + P173/5) / 2</f>
        <v>0.982</v>
      </c>
      <c r="X173" s="0" t="n">
        <f aca="false">(K173/100 + Q173/5) / 2</f>
        <v>0.5069</v>
      </c>
    </row>
    <row r="174" customFormat="false" ht="12.8" hidden="false" customHeight="false" outlineLevel="0" collapsed="false">
      <c r="A174" s="0" t="s">
        <v>1060</v>
      </c>
      <c r="B174" s="0" t="s">
        <v>1061</v>
      </c>
      <c r="C174" s="0" t="s">
        <v>1061</v>
      </c>
      <c r="D174" s="0" t="s">
        <v>1062</v>
      </c>
      <c r="E174" s="0" t="s">
        <v>1062</v>
      </c>
      <c r="F174" s="0" t="n">
        <v>1</v>
      </c>
      <c r="G174" s="0" t="n">
        <v>1</v>
      </c>
      <c r="H174" s="0" t="n">
        <v>1</v>
      </c>
      <c r="I174" s="0" t="n">
        <v>100</v>
      </c>
      <c r="J174" s="0" t="n">
        <v>29.06</v>
      </c>
      <c r="K174" s="0" t="n">
        <v>29.06</v>
      </c>
      <c r="L174" s="0" t="n">
        <v>0.99</v>
      </c>
      <c r="M174" s="0" t="n">
        <v>0.96</v>
      </c>
      <c r="N174" s="0" t="n">
        <v>0.96</v>
      </c>
      <c r="O174" s="0" t="n">
        <v>4.7</v>
      </c>
      <c r="P174" s="0" t="n">
        <v>4.63</v>
      </c>
      <c r="Q174" s="0" t="n">
        <v>4.63</v>
      </c>
      <c r="R174" s="0" t="s">
        <v>1063</v>
      </c>
      <c r="S174" s="0" t="s">
        <v>92</v>
      </c>
      <c r="T174" s="0" t="s">
        <v>26</v>
      </c>
      <c r="U174" s="0" t="s">
        <v>93</v>
      </c>
      <c r="V174" s="0" t="n">
        <f aca="false">(I174/100 + O174/5) / 2</f>
        <v>0.97</v>
      </c>
      <c r="W174" s="0" t="n">
        <f aca="false">(J174/100 + P174/5) / 2</f>
        <v>0.6083</v>
      </c>
      <c r="X174" s="0" t="n">
        <f aca="false">(K174/100 + Q174/5) / 2</f>
        <v>0.6083</v>
      </c>
    </row>
    <row r="175" customFormat="false" ht="12.8" hidden="false" customHeight="false" outlineLevel="0" collapsed="false">
      <c r="A175" s="0" t="s">
        <v>1064</v>
      </c>
      <c r="B175" s="0" t="s">
        <v>1065</v>
      </c>
      <c r="C175" s="0" t="s">
        <v>1065</v>
      </c>
      <c r="D175" s="0" t="s">
        <v>1066</v>
      </c>
      <c r="E175" s="0" t="s">
        <v>1067</v>
      </c>
      <c r="F175" s="0" t="n">
        <v>1</v>
      </c>
      <c r="G175" s="0" t="n">
        <v>1</v>
      </c>
      <c r="H175" s="0" t="n">
        <v>1</v>
      </c>
      <c r="I175" s="0" t="n">
        <v>100</v>
      </c>
      <c r="J175" s="0" t="n">
        <v>100</v>
      </c>
      <c r="K175" s="0" t="n">
        <v>19.3</v>
      </c>
      <c r="L175" s="0" t="n">
        <v>0.99</v>
      </c>
      <c r="M175" s="0" t="n">
        <v>0.99</v>
      </c>
      <c r="N175" s="0" t="n">
        <v>0.97</v>
      </c>
      <c r="O175" s="0" t="n">
        <v>4.68</v>
      </c>
      <c r="P175" s="0" t="n">
        <v>4.68</v>
      </c>
      <c r="Q175" s="0" t="n">
        <v>4.53</v>
      </c>
      <c r="R175" s="0" t="s">
        <v>1068</v>
      </c>
      <c r="S175" s="0" t="s">
        <v>26</v>
      </c>
      <c r="T175" s="0" t="s">
        <v>92</v>
      </c>
      <c r="U175" s="0" t="s">
        <v>28</v>
      </c>
      <c r="V175" s="0" t="n">
        <f aca="false">(I175/100 + O175/5) / 2</f>
        <v>0.968</v>
      </c>
      <c r="W175" s="0" t="n">
        <f aca="false">(J175/100 + P175/5) / 2</f>
        <v>0.968</v>
      </c>
      <c r="X175" s="0" t="n">
        <f aca="false">(K175/100 + Q175/5) / 2</f>
        <v>0.5495</v>
      </c>
    </row>
    <row r="176" customFormat="false" ht="12.8" hidden="false" customHeight="false" outlineLevel="0" collapsed="false">
      <c r="A176" s="0" t="s">
        <v>1069</v>
      </c>
      <c r="B176" s="0" t="s">
        <v>1070</v>
      </c>
      <c r="C176" s="0" t="s">
        <v>1071</v>
      </c>
      <c r="D176" s="0" t="s">
        <v>1072</v>
      </c>
      <c r="E176" s="0" t="s">
        <v>1073</v>
      </c>
      <c r="F176" s="0" t="n">
        <v>0</v>
      </c>
      <c r="G176" s="0" t="n">
        <v>0</v>
      </c>
      <c r="H176" s="0" t="n">
        <v>1</v>
      </c>
      <c r="I176" s="0" t="n">
        <v>20.56</v>
      </c>
      <c r="J176" s="0" t="n">
        <v>43.47</v>
      </c>
      <c r="K176" s="0" t="n">
        <v>14.54</v>
      </c>
      <c r="L176" s="0" t="n">
        <v>0.85</v>
      </c>
      <c r="M176" s="0" t="n">
        <v>0.87</v>
      </c>
      <c r="N176" s="0" t="n">
        <v>0.71</v>
      </c>
      <c r="O176" s="0" t="n">
        <v>4.4</v>
      </c>
      <c r="P176" s="0" t="n">
        <v>4.4</v>
      </c>
      <c r="Q176" s="0" t="n">
        <v>4.44</v>
      </c>
      <c r="R176" s="0" t="s">
        <v>1074</v>
      </c>
      <c r="S176" s="0" t="s">
        <v>1075</v>
      </c>
      <c r="T176" s="0" t="s">
        <v>1076</v>
      </c>
      <c r="U176" s="0" t="s">
        <v>93</v>
      </c>
      <c r="V176" s="0" t="n">
        <f aca="false">(I176/100 + O176/5) / 2</f>
        <v>0.5428</v>
      </c>
      <c r="W176" s="0" t="n">
        <f aca="false">(J176/100 + P176/5) / 2</f>
        <v>0.65735</v>
      </c>
      <c r="X176" s="0" t="n">
        <f aca="false">(K176/100 + Q176/5) / 2</f>
        <v>0.5167</v>
      </c>
    </row>
    <row r="177" customFormat="false" ht="12.8" hidden="false" customHeight="false" outlineLevel="0" collapsed="false">
      <c r="A177" s="0" t="s">
        <v>1077</v>
      </c>
      <c r="B177" s="0" t="s">
        <v>1078</v>
      </c>
      <c r="C177" s="0" t="s">
        <v>1078</v>
      </c>
      <c r="D177" s="0" t="s">
        <v>1079</v>
      </c>
      <c r="E177" s="0" t="s">
        <v>1080</v>
      </c>
      <c r="F177" s="0" t="n">
        <v>1</v>
      </c>
      <c r="G177" s="0" t="n">
        <v>0</v>
      </c>
      <c r="H177" s="0" t="n">
        <v>1</v>
      </c>
      <c r="I177" s="0" t="n">
        <v>100</v>
      </c>
      <c r="J177" s="0" t="n">
        <v>22.96</v>
      </c>
      <c r="K177" s="0" t="n">
        <v>100</v>
      </c>
      <c r="L177" s="0" t="n">
        <v>0.98</v>
      </c>
      <c r="M177" s="0" t="n">
        <v>0.59</v>
      </c>
      <c r="N177" s="0" t="n">
        <v>0.98</v>
      </c>
      <c r="O177" s="0" t="n">
        <v>4.47</v>
      </c>
      <c r="P177" s="0" t="n">
        <v>3.45</v>
      </c>
      <c r="Q177" s="0" t="n">
        <v>4.47</v>
      </c>
      <c r="R177" s="0" t="s">
        <v>1081</v>
      </c>
      <c r="S177" s="0" t="s">
        <v>1082</v>
      </c>
      <c r="T177" s="0" t="s">
        <v>1083</v>
      </c>
      <c r="U177" s="0" t="s">
        <v>36</v>
      </c>
      <c r="V177" s="0" t="n">
        <f aca="false">(I177/100 + O177/5) / 2</f>
        <v>0.947</v>
      </c>
      <c r="W177" s="0" t="n">
        <f aca="false">(J177/100 + P177/5) / 2</f>
        <v>0.4598</v>
      </c>
      <c r="X177" s="0" t="n">
        <f aca="false">(K177/100 + Q177/5) / 2</f>
        <v>0.947</v>
      </c>
    </row>
    <row r="178" customFormat="false" ht="12.8" hidden="false" customHeight="false" outlineLevel="0" collapsed="false">
      <c r="A178" s="0" t="s">
        <v>1084</v>
      </c>
      <c r="B178" s="0" t="s">
        <v>1085</v>
      </c>
      <c r="C178" s="0" t="s">
        <v>1086</v>
      </c>
      <c r="D178" s="0" t="s">
        <v>1087</v>
      </c>
      <c r="E178" s="0" t="s">
        <v>1088</v>
      </c>
      <c r="F178" s="0" t="n">
        <v>1</v>
      </c>
      <c r="G178" s="0" t="n">
        <v>1</v>
      </c>
      <c r="H178" s="0" t="n">
        <v>0</v>
      </c>
      <c r="I178" s="0" t="n">
        <v>42.73</v>
      </c>
      <c r="J178" s="0" t="n">
        <v>77.88</v>
      </c>
      <c r="K178" s="0" t="n">
        <v>27.53</v>
      </c>
      <c r="L178" s="0" t="n">
        <v>0.94</v>
      </c>
      <c r="M178" s="0" t="n">
        <v>0.93</v>
      </c>
      <c r="N178" s="0" t="n">
        <v>0.9</v>
      </c>
      <c r="O178" s="0" t="n">
        <v>4.45</v>
      </c>
      <c r="P178" s="0" t="n">
        <v>4.62</v>
      </c>
      <c r="Q178" s="0" t="n">
        <v>4.4</v>
      </c>
      <c r="R178" s="0" t="s">
        <v>1089</v>
      </c>
      <c r="S178" s="0" t="s">
        <v>1090</v>
      </c>
      <c r="T178" s="0" t="s">
        <v>1091</v>
      </c>
      <c r="U178" s="0" t="s">
        <v>36</v>
      </c>
      <c r="V178" s="0" t="n">
        <f aca="false">(I178/100 + O178/5) / 2</f>
        <v>0.65865</v>
      </c>
      <c r="W178" s="0" t="n">
        <f aca="false">(J178/100 + P178/5) / 2</f>
        <v>0.8514</v>
      </c>
      <c r="X178" s="0" t="n">
        <f aca="false">(K178/100 + Q178/5) / 2</f>
        <v>0.57765</v>
      </c>
    </row>
    <row r="179" customFormat="false" ht="12.8" hidden="false" customHeight="false" outlineLevel="0" collapsed="false">
      <c r="A179" s="0" t="s">
        <v>1092</v>
      </c>
      <c r="B179" s="0" t="s">
        <v>1093</v>
      </c>
      <c r="C179" s="0" t="s">
        <v>1093</v>
      </c>
      <c r="D179" s="0" t="s">
        <v>1094</v>
      </c>
      <c r="E179" s="0" t="s">
        <v>1094</v>
      </c>
      <c r="F179" s="0" t="n">
        <v>1</v>
      </c>
      <c r="G179" s="0" t="n">
        <v>1</v>
      </c>
      <c r="H179" s="0" t="n">
        <v>1</v>
      </c>
      <c r="I179" s="0" t="n">
        <v>100</v>
      </c>
      <c r="J179" s="0" t="n">
        <v>100</v>
      </c>
      <c r="K179" s="0" t="n">
        <v>100</v>
      </c>
      <c r="L179" s="0" t="n">
        <v>0.99</v>
      </c>
      <c r="M179" s="0" t="n">
        <v>0.99</v>
      </c>
      <c r="N179" s="0" t="n">
        <v>0.99</v>
      </c>
      <c r="O179" s="0" t="n">
        <v>4.62</v>
      </c>
      <c r="P179" s="0" t="n">
        <v>4.62</v>
      </c>
      <c r="Q179" s="0" t="n">
        <v>4.62</v>
      </c>
      <c r="R179" s="0" t="s">
        <v>26</v>
      </c>
      <c r="S179" s="0" t="s">
        <v>26</v>
      </c>
      <c r="T179" s="0" t="s">
        <v>26</v>
      </c>
      <c r="U179" s="0" t="s">
        <v>54</v>
      </c>
      <c r="V179" s="0" t="n">
        <f aca="false">(I179/100 + O179/5) / 2</f>
        <v>0.962</v>
      </c>
      <c r="W179" s="0" t="n">
        <f aca="false">(J179/100 + P179/5) / 2</f>
        <v>0.962</v>
      </c>
      <c r="X179" s="0" t="n">
        <f aca="false">(K179/100 + Q179/5) / 2</f>
        <v>0.962</v>
      </c>
    </row>
    <row r="180" customFormat="false" ht="12.8" hidden="false" customHeight="false" outlineLevel="0" collapsed="false">
      <c r="A180" s="0" t="s">
        <v>1095</v>
      </c>
      <c r="B180" s="0" t="s">
        <v>1096</v>
      </c>
      <c r="C180" s="0" t="s">
        <v>1096</v>
      </c>
      <c r="D180" s="0" t="s">
        <v>1097</v>
      </c>
      <c r="E180" s="0" t="s">
        <v>1098</v>
      </c>
      <c r="F180" s="0" t="n">
        <v>1</v>
      </c>
      <c r="G180" s="0" t="n">
        <v>0</v>
      </c>
      <c r="H180" s="0" t="n">
        <v>0</v>
      </c>
      <c r="I180" s="0" t="n">
        <v>100</v>
      </c>
      <c r="J180" s="0" t="n">
        <v>41.11</v>
      </c>
      <c r="K180" s="0" t="n">
        <v>43.47</v>
      </c>
      <c r="L180" s="0" t="n">
        <v>0.99</v>
      </c>
      <c r="M180" s="0" t="n">
        <v>0.93</v>
      </c>
      <c r="N180" s="0" t="n">
        <v>0.91</v>
      </c>
      <c r="O180" s="0" t="n">
        <v>4.31</v>
      </c>
      <c r="P180" s="0" t="n">
        <v>4.04</v>
      </c>
      <c r="Q180" s="0" t="n">
        <v>3.92</v>
      </c>
      <c r="R180" s="0" t="s">
        <v>1099</v>
      </c>
      <c r="S180" s="0" t="s">
        <v>1100</v>
      </c>
      <c r="T180" s="0" t="s">
        <v>1101</v>
      </c>
      <c r="U180" s="0" t="s">
        <v>36</v>
      </c>
      <c r="V180" s="0" t="n">
        <f aca="false">(I180/100 + O180/5) / 2</f>
        <v>0.931</v>
      </c>
      <c r="W180" s="0" t="n">
        <f aca="false">(J180/100 + P180/5) / 2</f>
        <v>0.60955</v>
      </c>
      <c r="X180" s="0" t="n">
        <f aca="false">(K180/100 + Q180/5) / 2</f>
        <v>0.60935</v>
      </c>
    </row>
    <row r="181" customFormat="false" ht="12.8" hidden="false" customHeight="false" outlineLevel="0" collapsed="false">
      <c r="A181" s="0" t="s">
        <v>1102</v>
      </c>
      <c r="B181" s="0" t="s">
        <v>1103</v>
      </c>
      <c r="C181" s="0" t="s">
        <v>1103</v>
      </c>
      <c r="D181" s="0" t="s">
        <v>1104</v>
      </c>
      <c r="E181" s="0" t="s">
        <v>1104</v>
      </c>
      <c r="F181" s="0" t="n">
        <v>1</v>
      </c>
      <c r="G181" s="0" t="n">
        <v>1</v>
      </c>
      <c r="H181" s="0" t="n">
        <v>1</v>
      </c>
      <c r="I181" s="0" t="n">
        <v>100</v>
      </c>
      <c r="J181" s="0" t="n">
        <v>100</v>
      </c>
      <c r="K181" s="0" t="n">
        <v>100</v>
      </c>
      <c r="L181" s="0" t="n">
        <v>1</v>
      </c>
      <c r="M181" s="0" t="n">
        <v>1</v>
      </c>
      <c r="N181" s="0" t="n">
        <v>1</v>
      </c>
      <c r="O181" s="0" t="n">
        <v>4.35</v>
      </c>
      <c r="P181" s="0" t="n">
        <v>4.35</v>
      </c>
      <c r="Q181" s="0" t="n">
        <v>4.35</v>
      </c>
      <c r="R181" s="0" t="s">
        <v>26</v>
      </c>
      <c r="S181" s="0" t="s">
        <v>26</v>
      </c>
      <c r="T181" s="0" t="s">
        <v>26</v>
      </c>
      <c r="U181" s="0" t="s">
        <v>54</v>
      </c>
      <c r="V181" s="0" t="n">
        <f aca="false">(I181/100 + O181/5) / 2</f>
        <v>0.935</v>
      </c>
      <c r="W181" s="0" t="n">
        <f aca="false">(J181/100 + P181/5) / 2</f>
        <v>0.935</v>
      </c>
      <c r="X181" s="0" t="n">
        <f aca="false">(K181/100 + Q181/5) / 2</f>
        <v>0.935</v>
      </c>
    </row>
    <row r="182" customFormat="false" ht="12.8" hidden="false" customHeight="false" outlineLevel="0" collapsed="false">
      <c r="A182" s="0" t="s">
        <v>1105</v>
      </c>
      <c r="B182" s="0" t="s">
        <v>1106</v>
      </c>
      <c r="C182" s="0" t="s">
        <v>1106</v>
      </c>
      <c r="D182" s="0" t="s">
        <v>1107</v>
      </c>
      <c r="E182" s="0" t="s">
        <v>1108</v>
      </c>
      <c r="F182" s="0" t="n">
        <v>1</v>
      </c>
      <c r="G182" s="0" t="n">
        <v>0</v>
      </c>
      <c r="H182" s="0" t="n">
        <v>1</v>
      </c>
      <c r="I182" s="0" t="n">
        <v>100</v>
      </c>
      <c r="J182" s="0" t="n">
        <v>15.62</v>
      </c>
      <c r="K182" s="0" t="n">
        <v>64.35</v>
      </c>
      <c r="L182" s="0" t="n">
        <v>0.99</v>
      </c>
      <c r="M182" s="0" t="n">
        <v>0.95</v>
      </c>
      <c r="N182" s="0" t="n">
        <v>0.98</v>
      </c>
      <c r="O182" s="0" t="n">
        <v>4.8</v>
      </c>
      <c r="P182" s="0" t="n">
        <v>4.75</v>
      </c>
      <c r="Q182" s="0" t="n">
        <v>4.74</v>
      </c>
      <c r="R182" s="0" t="s">
        <v>1109</v>
      </c>
      <c r="S182" s="0" t="s">
        <v>1110</v>
      </c>
      <c r="T182" s="0" t="s">
        <v>1111</v>
      </c>
      <c r="U182" s="0" t="s">
        <v>36</v>
      </c>
      <c r="V182" s="0" t="n">
        <f aca="false">(I182/100 + O182/5) / 2</f>
        <v>0.98</v>
      </c>
      <c r="W182" s="0" t="n">
        <f aca="false">(J182/100 + P182/5) / 2</f>
        <v>0.5531</v>
      </c>
      <c r="X182" s="0" t="n">
        <f aca="false">(K182/100 + Q182/5) / 2</f>
        <v>0.79575</v>
      </c>
    </row>
    <row r="183" customFormat="false" ht="12.8" hidden="false" customHeight="false" outlineLevel="0" collapsed="false">
      <c r="A183" s="0" t="s">
        <v>1112</v>
      </c>
      <c r="B183" s="0" t="s">
        <v>1113</v>
      </c>
      <c r="C183" s="0" t="s">
        <v>1113</v>
      </c>
      <c r="D183" s="0" t="s">
        <v>1114</v>
      </c>
      <c r="E183" s="0" t="s">
        <v>1114</v>
      </c>
      <c r="F183" s="0" t="n">
        <v>1</v>
      </c>
      <c r="G183" s="0" t="n">
        <v>1</v>
      </c>
      <c r="H183" s="0" t="n">
        <v>1</v>
      </c>
      <c r="I183" s="0" t="n">
        <v>100</v>
      </c>
      <c r="J183" s="0" t="n">
        <v>100</v>
      </c>
      <c r="K183" s="0" t="n">
        <v>100</v>
      </c>
      <c r="L183" s="0" t="n">
        <v>0.99</v>
      </c>
      <c r="M183" s="0" t="n">
        <v>0.99</v>
      </c>
      <c r="N183" s="0" t="n">
        <v>0.99</v>
      </c>
      <c r="O183" s="0" t="n">
        <v>4.47</v>
      </c>
      <c r="P183" s="0" t="n">
        <v>4.47</v>
      </c>
      <c r="Q183" s="0" t="n">
        <v>4.47</v>
      </c>
      <c r="R183" s="0" t="s">
        <v>26</v>
      </c>
      <c r="S183" s="0" t="s">
        <v>26</v>
      </c>
      <c r="T183" s="0" t="s">
        <v>26</v>
      </c>
      <c r="U183" s="0" t="s">
        <v>54</v>
      </c>
      <c r="V183" s="0" t="n">
        <f aca="false">(I183/100 + O183/5) / 2</f>
        <v>0.947</v>
      </c>
      <c r="W183" s="0" t="n">
        <f aca="false">(J183/100 + P183/5) / 2</f>
        <v>0.947</v>
      </c>
      <c r="X183" s="0" t="n">
        <f aca="false">(K183/100 + Q183/5) / 2</f>
        <v>0.947</v>
      </c>
    </row>
    <row r="184" customFormat="false" ht="12.8" hidden="false" customHeight="false" outlineLevel="0" collapsed="false">
      <c r="A184" s="0" t="s">
        <v>1115</v>
      </c>
      <c r="B184" s="0" t="s">
        <v>1116</v>
      </c>
      <c r="C184" s="0" t="s">
        <v>1116</v>
      </c>
      <c r="D184" s="0" t="s">
        <v>1117</v>
      </c>
      <c r="E184" s="0" t="s">
        <v>1118</v>
      </c>
      <c r="F184" s="0" t="n">
        <v>1</v>
      </c>
      <c r="G184" s="0" t="n">
        <v>1</v>
      </c>
      <c r="H184" s="0" t="n">
        <v>1</v>
      </c>
      <c r="I184" s="0" t="n">
        <v>100</v>
      </c>
      <c r="J184" s="0" t="n">
        <v>69.96</v>
      </c>
      <c r="K184" s="0" t="n">
        <v>78</v>
      </c>
      <c r="L184" s="0" t="n">
        <v>0.98</v>
      </c>
      <c r="M184" s="0" t="n">
        <v>0.97</v>
      </c>
      <c r="N184" s="0" t="n">
        <v>0.97</v>
      </c>
      <c r="O184" s="0" t="n">
        <v>4.87</v>
      </c>
      <c r="P184" s="0" t="n">
        <v>4.76</v>
      </c>
      <c r="Q184" s="0" t="n">
        <v>4.83</v>
      </c>
      <c r="R184" s="0" t="s">
        <v>1119</v>
      </c>
      <c r="S184" s="0" t="s">
        <v>26</v>
      </c>
      <c r="T184" s="0" t="s">
        <v>26</v>
      </c>
      <c r="U184" s="0" t="s">
        <v>50</v>
      </c>
      <c r="V184" s="0" t="n">
        <f aca="false">(I184/100 + O184/5) / 2</f>
        <v>0.987</v>
      </c>
      <c r="W184" s="0" t="n">
        <f aca="false">(J184/100 + P184/5) / 2</f>
        <v>0.8258</v>
      </c>
      <c r="X184" s="0" t="n">
        <f aca="false">(K184/100 + Q184/5) / 2</f>
        <v>0.873</v>
      </c>
    </row>
    <row r="185" customFormat="false" ht="12.8" hidden="false" customHeight="false" outlineLevel="0" collapsed="false">
      <c r="A185" s="0" t="s">
        <v>1120</v>
      </c>
      <c r="B185" s="0" t="s">
        <v>1121</v>
      </c>
      <c r="C185" s="0" t="s">
        <v>1121</v>
      </c>
      <c r="D185" s="0" t="s">
        <v>1122</v>
      </c>
      <c r="E185" s="0" t="s">
        <v>1123</v>
      </c>
      <c r="F185" s="0" t="n">
        <v>1</v>
      </c>
      <c r="G185" s="0" t="n">
        <v>0</v>
      </c>
      <c r="H185" s="0" t="n">
        <v>1</v>
      </c>
      <c r="I185" s="0" t="n">
        <v>100</v>
      </c>
      <c r="J185" s="0" t="n">
        <v>67.87</v>
      </c>
      <c r="K185" s="0" t="n">
        <v>100</v>
      </c>
      <c r="L185" s="0" t="n">
        <v>0.99</v>
      </c>
      <c r="M185" s="0" t="n">
        <v>0.95</v>
      </c>
      <c r="N185" s="0" t="n">
        <v>0.99</v>
      </c>
      <c r="O185" s="0" t="n">
        <v>4.88</v>
      </c>
      <c r="P185" s="0" t="n">
        <v>4.17</v>
      </c>
      <c r="Q185" s="0" t="n">
        <v>4.88</v>
      </c>
      <c r="R185" s="0" t="s">
        <v>1124</v>
      </c>
      <c r="S185" s="0" t="s">
        <v>1125</v>
      </c>
      <c r="T185" s="0" t="s">
        <v>1126</v>
      </c>
      <c r="U185" s="0" t="s">
        <v>36</v>
      </c>
      <c r="V185" s="0" t="n">
        <f aca="false">(I185/100 + O185/5) / 2</f>
        <v>0.988</v>
      </c>
      <c r="W185" s="0" t="n">
        <f aca="false">(J185/100 + P185/5) / 2</f>
        <v>0.75635</v>
      </c>
      <c r="X185" s="0" t="n">
        <f aca="false">(K185/100 + Q185/5) / 2</f>
        <v>0.988</v>
      </c>
    </row>
    <row r="186" customFormat="false" ht="12.8" hidden="false" customHeight="false" outlineLevel="0" collapsed="false">
      <c r="A186" s="0" t="s">
        <v>1127</v>
      </c>
      <c r="B186" s="0" t="s">
        <v>1128</v>
      </c>
      <c r="C186" s="0" t="s">
        <v>1129</v>
      </c>
      <c r="D186" s="0" t="s">
        <v>1130</v>
      </c>
      <c r="E186" s="0" t="s">
        <v>1131</v>
      </c>
      <c r="F186" s="0" t="n">
        <v>0</v>
      </c>
      <c r="G186" s="0" t="n">
        <v>1</v>
      </c>
      <c r="H186" s="0" t="n">
        <v>1</v>
      </c>
      <c r="I186" s="0" t="n">
        <v>57.19</v>
      </c>
      <c r="J186" s="0" t="n">
        <v>100</v>
      </c>
      <c r="K186" s="0" t="n">
        <v>76.33</v>
      </c>
      <c r="L186" s="0" t="n">
        <v>0.96</v>
      </c>
      <c r="M186" s="0" t="n">
        <v>0.98</v>
      </c>
      <c r="N186" s="0" t="n">
        <v>0.98</v>
      </c>
      <c r="O186" s="0" t="n">
        <v>4.39</v>
      </c>
      <c r="P186" s="0" t="n">
        <v>5.15</v>
      </c>
      <c r="Q186" s="0" t="n">
        <v>5.13</v>
      </c>
      <c r="R186" s="0" t="s">
        <v>1132</v>
      </c>
      <c r="S186" s="0" t="s">
        <v>1133</v>
      </c>
      <c r="T186" s="0" t="s">
        <v>1134</v>
      </c>
      <c r="U186" s="0" t="s">
        <v>36</v>
      </c>
      <c r="V186" s="0" t="n">
        <f aca="false">(I186/100 + O186/5) / 2</f>
        <v>0.72495</v>
      </c>
      <c r="W186" s="0" t="n">
        <f aca="false">(J186/100 + P186/5) / 2</f>
        <v>1.015</v>
      </c>
      <c r="X186" s="0" t="n">
        <f aca="false">(K186/100 + Q186/5) / 2</f>
        <v>0.89465</v>
      </c>
    </row>
    <row r="187" customFormat="false" ht="12.8" hidden="false" customHeight="false" outlineLevel="0" collapsed="false">
      <c r="A187" s="0" t="s">
        <v>1135</v>
      </c>
      <c r="B187" s="0" t="s">
        <v>1136</v>
      </c>
      <c r="C187" s="0" t="s">
        <v>1137</v>
      </c>
      <c r="D187" s="0" t="s">
        <v>1138</v>
      </c>
      <c r="E187" s="0" t="s">
        <v>1139</v>
      </c>
      <c r="F187" s="0" t="n">
        <v>1</v>
      </c>
      <c r="G187" s="0" t="n">
        <v>0</v>
      </c>
      <c r="H187" s="0" t="n">
        <v>1</v>
      </c>
      <c r="I187" s="0" t="n">
        <v>84.92</v>
      </c>
      <c r="J187" s="0" t="n">
        <v>84.92</v>
      </c>
      <c r="K187" s="0" t="n">
        <v>68.88</v>
      </c>
      <c r="L187" s="0" t="n">
        <v>0.95</v>
      </c>
      <c r="M187" s="0" t="n">
        <v>0.93</v>
      </c>
      <c r="N187" s="0" t="n">
        <v>0.95</v>
      </c>
      <c r="O187" s="0" t="n">
        <v>4.9</v>
      </c>
      <c r="P187" s="0" t="n">
        <v>4.35</v>
      </c>
      <c r="Q187" s="0" t="n">
        <v>4.57</v>
      </c>
      <c r="R187" s="0" t="s">
        <v>1140</v>
      </c>
      <c r="S187" s="0" t="s">
        <v>1141</v>
      </c>
      <c r="T187" s="0" t="s">
        <v>1142</v>
      </c>
      <c r="U187" s="0" t="s">
        <v>93</v>
      </c>
      <c r="V187" s="0" t="n">
        <f aca="false">(I187/100 + O187/5) / 2</f>
        <v>0.9146</v>
      </c>
      <c r="W187" s="0" t="n">
        <f aca="false">(J187/100 + P187/5) / 2</f>
        <v>0.8596</v>
      </c>
      <c r="X187" s="0" t="n">
        <f aca="false">(K187/100 + Q187/5) / 2</f>
        <v>0.8014</v>
      </c>
    </row>
    <row r="188" customFormat="false" ht="12.8" hidden="false" customHeight="false" outlineLevel="0" collapsed="false">
      <c r="A188" s="0" t="s">
        <v>1143</v>
      </c>
      <c r="B188" s="0" t="s">
        <v>1144</v>
      </c>
      <c r="C188" s="0" t="s">
        <v>1145</v>
      </c>
      <c r="D188" s="0" t="s">
        <v>1146</v>
      </c>
      <c r="E188" s="0" t="s">
        <v>1147</v>
      </c>
      <c r="F188" s="0" t="n">
        <v>1</v>
      </c>
      <c r="G188" s="0" t="n">
        <v>0</v>
      </c>
      <c r="H188" s="0" t="n">
        <v>0</v>
      </c>
      <c r="I188" s="0" t="n">
        <v>78.84</v>
      </c>
      <c r="J188" s="0" t="n">
        <v>82.52</v>
      </c>
      <c r="K188" s="0" t="n">
        <v>29.58</v>
      </c>
      <c r="L188" s="0" t="n">
        <v>0.95</v>
      </c>
      <c r="M188" s="0" t="n">
        <v>0.95</v>
      </c>
      <c r="N188" s="0" t="n">
        <v>0.85</v>
      </c>
      <c r="O188" s="0" t="n">
        <v>4.69</v>
      </c>
      <c r="P188" s="0" t="n">
        <v>4.72</v>
      </c>
      <c r="Q188" s="0" t="n">
        <v>4.29</v>
      </c>
      <c r="R188" s="0" t="s">
        <v>1148</v>
      </c>
      <c r="S188" s="0" t="s">
        <v>1149</v>
      </c>
      <c r="T188" s="0" t="s">
        <v>1150</v>
      </c>
      <c r="U188" s="0" t="s">
        <v>36</v>
      </c>
      <c r="V188" s="0" t="n">
        <f aca="false">(I188/100 + O188/5) / 2</f>
        <v>0.8632</v>
      </c>
      <c r="W188" s="0" t="n">
        <f aca="false">(J188/100 + P188/5) / 2</f>
        <v>0.8846</v>
      </c>
      <c r="X188" s="0" t="n">
        <f aca="false">(K188/100 + Q188/5) / 2</f>
        <v>0.5769</v>
      </c>
    </row>
    <row r="189" customFormat="false" ht="12.8" hidden="false" customHeight="false" outlineLevel="0" collapsed="false">
      <c r="A189" s="0" t="s">
        <v>1151</v>
      </c>
      <c r="B189" s="0" t="s">
        <v>1152</v>
      </c>
      <c r="C189" s="0" t="s">
        <v>1152</v>
      </c>
      <c r="D189" s="0" t="s">
        <v>1153</v>
      </c>
      <c r="E189" s="0" t="s">
        <v>1154</v>
      </c>
      <c r="F189" s="0" t="n">
        <v>1</v>
      </c>
      <c r="G189" s="0" t="n">
        <v>1</v>
      </c>
      <c r="H189" s="0" t="n">
        <v>1</v>
      </c>
      <c r="I189" s="0" t="n">
        <v>100</v>
      </c>
      <c r="J189" s="0" t="n">
        <v>91.22</v>
      </c>
      <c r="K189" s="0" t="n">
        <v>56.22</v>
      </c>
      <c r="L189" s="0" t="n">
        <v>0.98</v>
      </c>
      <c r="M189" s="0" t="n">
        <v>0.96</v>
      </c>
      <c r="N189" s="0" t="n">
        <v>0.95</v>
      </c>
      <c r="O189" s="0" t="n">
        <v>4.71</v>
      </c>
      <c r="P189" s="0" t="n">
        <v>4.68</v>
      </c>
      <c r="Q189" s="0" t="n">
        <v>4.66</v>
      </c>
      <c r="R189" s="0" t="s">
        <v>1155</v>
      </c>
      <c r="S189" s="0" t="s">
        <v>92</v>
      </c>
      <c r="T189" s="0" t="s">
        <v>26</v>
      </c>
      <c r="U189" s="0" t="s">
        <v>50</v>
      </c>
      <c r="V189" s="0" t="n">
        <f aca="false">(I189/100 + O189/5) / 2</f>
        <v>0.971</v>
      </c>
      <c r="W189" s="0" t="n">
        <f aca="false">(J189/100 + P189/5) / 2</f>
        <v>0.9241</v>
      </c>
      <c r="X189" s="0" t="n">
        <f aca="false">(K189/100 + Q189/5) / 2</f>
        <v>0.7471</v>
      </c>
    </row>
    <row r="190" customFormat="false" ht="12.8" hidden="false" customHeight="false" outlineLevel="0" collapsed="false">
      <c r="A190" s="0" t="s">
        <v>1156</v>
      </c>
      <c r="B190" s="0" t="s">
        <v>1157</v>
      </c>
      <c r="C190" s="0" t="s">
        <v>1158</v>
      </c>
      <c r="D190" s="0" t="s">
        <v>1159</v>
      </c>
      <c r="E190" s="0" t="s">
        <v>1160</v>
      </c>
      <c r="F190" s="0" t="n">
        <v>1</v>
      </c>
      <c r="G190" s="0" t="n">
        <v>1</v>
      </c>
      <c r="H190" s="0" t="n">
        <v>1</v>
      </c>
      <c r="I190" s="0" t="n">
        <v>64.2</v>
      </c>
      <c r="J190" s="0" t="n">
        <v>82.82</v>
      </c>
      <c r="K190" s="0" t="n">
        <v>100</v>
      </c>
      <c r="L190" s="0" t="n">
        <v>0.92</v>
      </c>
      <c r="M190" s="0" t="n">
        <v>0.95</v>
      </c>
      <c r="N190" s="0" t="n">
        <v>0.97</v>
      </c>
      <c r="O190" s="0" t="n">
        <v>4.77</v>
      </c>
      <c r="P190" s="0" t="n">
        <v>4.8</v>
      </c>
      <c r="Q190" s="0" t="n">
        <v>4.87</v>
      </c>
      <c r="R190" s="0" t="s">
        <v>521</v>
      </c>
      <c r="S190" s="0" t="s">
        <v>27</v>
      </c>
      <c r="T190" s="0" t="s">
        <v>26</v>
      </c>
      <c r="U190" s="0" t="s">
        <v>93</v>
      </c>
      <c r="V190" s="0" t="n">
        <f aca="false">(I190/100 + O190/5) / 2</f>
        <v>0.798</v>
      </c>
      <c r="W190" s="0" t="n">
        <f aca="false">(J190/100 + P190/5) / 2</f>
        <v>0.8941</v>
      </c>
      <c r="X190" s="0" t="n">
        <f aca="false">(K190/100 + Q190/5) / 2</f>
        <v>0.987</v>
      </c>
    </row>
    <row r="191" customFormat="false" ht="12.8" hidden="false" customHeight="false" outlineLevel="0" collapsed="false">
      <c r="A191" s="0" t="s">
        <v>1161</v>
      </c>
      <c r="B191" s="0" t="s">
        <v>1162</v>
      </c>
      <c r="C191" s="0" t="s">
        <v>1162</v>
      </c>
      <c r="D191" s="0" t="s">
        <v>1163</v>
      </c>
      <c r="E191" s="0" t="s">
        <v>1164</v>
      </c>
      <c r="F191" s="0" t="n">
        <v>1</v>
      </c>
      <c r="G191" s="0" t="n">
        <v>1</v>
      </c>
      <c r="H191" s="0" t="n">
        <v>0</v>
      </c>
      <c r="I191" s="0" t="n">
        <v>100</v>
      </c>
      <c r="J191" s="0" t="n">
        <v>100</v>
      </c>
      <c r="K191" s="0" t="n">
        <v>36.66</v>
      </c>
      <c r="L191" s="0" t="n">
        <v>0.97</v>
      </c>
      <c r="M191" s="0" t="n">
        <v>0.97</v>
      </c>
      <c r="N191" s="0" t="n">
        <v>0.85</v>
      </c>
      <c r="O191" s="0" t="n">
        <v>4.77</v>
      </c>
      <c r="P191" s="0" t="n">
        <v>4.77</v>
      </c>
      <c r="Q191" s="0" t="n">
        <v>4.06</v>
      </c>
      <c r="R191" s="0" t="s">
        <v>1165</v>
      </c>
      <c r="S191" s="0" t="s">
        <v>1166</v>
      </c>
      <c r="T191" s="0" t="s">
        <v>1167</v>
      </c>
      <c r="U191" s="0" t="s">
        <v>36</v>
      </c>
      <c r="V191" s="0" t="n">
        <f aca="false">(I191/100 + O191/5) / 2</f>
        <v>0.977</v>
      </c>
      <c r="W191" s="0" t="n">
        <f aca="false">(J191/100 + P191/5) / 2</f>
        <v>0.977</v>
      </c>
      <c r="X191" s="0" t="n">
        <f aca="false">(K191/100 + Q191/5) / 2</f>
        <v>0.5893</v>
      </c>
    </row>
    <row r="192" customFormat="false" ht="12.8" hidden="false" customHeight="false" outlineLevel="0" collapsed="false">
      <c r="A192" s="0" t="s">
        <v>1168</v>
      </c>
      <c r="B192" s="0" t="s">
        <v>1169</v>
      </c>
      <c r="C192" s="0" t="s">
        <v>1169</v>
      </c>
      <c r="D192" s="0" t="s">
        <v>1170</v>
      </c>
      <c r="E192" s="0" t="s">
        <v>1170</v>
      </c>
      <c r="F192" s="0" t="n">
        <v>1</v>
      </c>
      <c r="G192" s="0" t="n">
        <v>1</v>
      </c>
      <c r="H192" s="0" t="n">
        <v>1</v>
      </c>
      <c r="I192" s="0" t="n">
        <v>100</v>
      </c>
      <c r="J192" s="0" t="n">
        <v>100</v>
      </c>
      <c r="K192" s="0" t="n">
        <v>100</v>
      </c>
      <c r="L192" s="0" t="n">
        <v>0.99</v>
      </c>
      <c r="M192" s="0" t="n">
        <v>0.99</v>
      </c>
      <c r="N192" s="0" t="n">
        <v>0.99</v>
      </c>
      <c r="O192" s="0" t="n">
        <v>5.01</v>
      </c>
      <c r="P192" s="0" t="n">
        <v>5.01</v>
      </c>
      <c r="Q192" s="0" t="n">
        <v>5.01</v>
      </c>
      <c r="R192" s="0" t="s">
        <v>26</v>
      </c>
      <c r="S192" s="0" t="s">
        <v>26</v>
      </c>
      <c r="T192" s="0" t="s">
        <v>26</v>
      </c>
      <c r="U192" s="0" t="s">
        <v>54</v>
      </c>
      <c r="V192" s="0" t="n">
        <f aca="false">(I192/100 + O192/5) / 2</f>
        <v>1.001</v>
      </c>
      <c r="W192" s="0" t="n">
        <f aca="false">(J192/100 + P192/5) / 2</f>
        <v>1.001</v>
      </c>
      <c r="X192" s="0" t="n">
        <f aca="false">(K192/100 + Q192/5) / 2</f>
        <v>1.001</v>
      </c>
    </row>
    <row r="193" customFormat="false" ht="12.8" hidden="false" customHeight="false" outlineLevel="0" collapsed="false">
      <c r="A193" s="0" t="s">
        <v>1171</v>
      </c>
      <c r="B193" s="0" t="s">
        <v>1172</v>
      </c>
      <c r="C193" s="0" t="s">
        <v>1173</v>
      </c>
      <c r="D193" s="0" t="s">
        <v>1174</v>
      </c>
      <c r="E193" s="0" t="s">
        <v>1175</v>
      </c>
      <c r="F193" s="0" t="n">
        <v>1</v>
      </c>
      <c r="G193" s="0" t="n">
        <v>1</v>
      </c>
      <c r="H193" s="0" t="n">
        <v>1</v>
      </c>
      <c r="I193" s="0" t="n">
        <v>51.15</v>
      </c>
      <c r="J193" s="0" t="n">
        <v>100</v>
      </c>
      <c r="K193" s="0" t="n">
        <v>51.15</v>
      </c>
      <c r="L193" s="0" t="n">
        <v>0.98</v>
      </c>
      <c r="M193" s="0" t="n">
        <v>0.99</v>
      </c>
      <c r="N193" s="0" t="n">
        <v>0.98</v>
      </c>
      <c r="O193" s="0" t="n">
        <v>3.99</v>
      </c>
      <c r="P193" s="0" t="n">
        <v>4.12</v>
      </c>
      <c r="Q193" s="0" t="n">
        <v>3.99</v>
      </c>
      <c r="R193" s="0" t="s">
        <v>1176</v>
      </c>
      <c r="S193" s="0" t="s">
        <v>26</v>
      </c>
      <c r="T193" s="0" t="s">
        <v>92</v>
      </c>
      <c r="U193" s="0" t="s">
        <v>28</v>
      </c>
      <c r="V193" s="0" t="n">
        <f aca="false">(I193/100 + O193/5) / 2</f>
        <v>0.65475</v>
      </c>
      <c r="W193" s="0" t="n">
        <f aca="false">(J193/100 + P193/5) / 2</f>
        <v>0.912</v>
      </c>
      <c r="X193" s="0" t="n">
        <f aca="false">(K193/100 + Q193/5) / 2</f>
        <v>0.65475</v>
      </c>
    </row>
    <row r="194" customFormat="false" ht="12.8" hidden="false" customHeight="false" outlineLevel="0" collapsed="false">
      <c r="A194" s="0" t="s">
        <v>1177</v>
      </c>
      <c r="B194" s="0" t="s">
        <v>1178</v>
      </c>
      <c r="C194" s="0" t="s">
        <v>1179</v>
      </c>
      <c r="D194" s="0" t="s">
        <v>1180</v>
      </c>
      <c r="E194" s="0" t="s">
        <v>1181</v>
      </c>
      <c r="F194" s="0" t="n">
        <v>1</v>
      </c>
      <c r="G194" s="0" t="n">
        <v>1</v>
      </c>
      <c r="H194" s="0" t="n">
        <v>1</v>
      </c>
      <c r="I194" s="0" t="n">
        <v>72.93</v>
      </c>
      <c r="J194" s="0" t="n">
        <v>54.37</v>
      </c>
      <c r="K194" s="0" t="n">
        <v>12.61</v>
      </c>
      <c r="L194" s="0" t="n">
        <v>0.83</v>
      </c>
      <c r="M194" s="0" t="n">
        <v>0.77</v>
      </c>
      <c r="N194" s="0" t="n">
        <v>0.77</v>
      </c>
      <c r="O194" s="0" t="n">
        <v>4.61</v>
      </c>
      <c r="P194" s="0" t="n">
        <v>3.61</v>
      </c>
      <c r="Q194" s="0" t="n">
        <v>4.31</v>
      </c>
      <c r="R194" s="0" t="s">
        <v>1182</v>
      </c>
      <c r="S194" s="0" t="s">
        <v>187</v>
      </c>
      <c r="T194" s="0" t="s">
        <v>412</v>
      </c>
      <c r="U194" s="0" t="s">
        <v>28</v>
      </c>
      <c r="V194" s="0" t="n">
        <f aca="false">(I194/100 + O194/5) / 2</f>
        <v>0.82565</v>
      </c>
      <c r="W194" s="0" t="n">
        <f aca="false">(J194/100 + P194/5) / 2</f>
        <v>0.63285</v>
      </c>
      <c r="X194" s="0" t="n">
        <f aca="false">(K194/100 + Q194/5) / 2</f>
        <v>0.49405</v>
      </c>
    </row>
    <row r="195" customFormat="false" ht="12.8" hidden="false" customHeight="false" outlineLevel="0" collapsed="false">
      <c r="A195" s="0" t="s">
        <v>1183</v>
      </c>
      <c r="B195" s="0" t="s">
        <v>1184</v>
      </c>
      <c r="C195" s="0" t="s">
        <v>1185</v>
      </c>
      <c r="D195" s="0" t="s">
        <v>1186</v>
      </c>
      <c r="E195" s="0" t="s">
        <v>1187</v>
      </c>
      <c r="F195" s="0" t="n">
        <v>1</v>
      </c>
      <c r="G195" s="0" t="n">
        <v>1</v>
      </c>
      <c r="H195" s="0" t="n">
        <v>0</v>
      </c>
      <c r="I195" s="0" t="n">
        <v>31.7</v>
      </c>
      <c r="J195" s="0" t="n">
        <v>31.7</v>
      </c>
      <c r="K195" s="0" t="n">
        <v>12.61</v>
      </c>
      <c r="L195" s="0" t="n">
        <v>0.56</v>
      </c>
      <c r="M195" s="0" t="n">
        <v>0.58</v>
      </c>
      <c r="N195" s="0" t="n">
        <v>0.67</v>
      </c>
      <c r="O195" s="0" t="n">
        <v>2.99</v>
      </c>
      <c r="P195" s="0" t="n">
        <v>3.6</v>
      </c>
      <c r="Q195" s="0" t="n">
        <v>3.02</v>
      </c>
      <c r="R195" s="0" t="s">
        <v>1188</v>
      </c>
      <c r="S195" s="0" t="s">
        <v>1189</v>
      </c>
      <c r="T195" s="0" t="s">
        <v>1190</v>
      </c>
      <c r="U195" s="0" t="s">
        <v>36</v>
      </c>
      <c r="V195" s="0" t="n">
        <f aca="false">(I195/100 + O195/5) / 2</f>
        <v>0.4575</v>
      </c>
      <c r="W195" s="0" t="n">
        <f aca="false">(J195/100 + P195/5) / 2</f>
        <v>0.5185</v>
      </c>
      <c r="X195" s="0" t="n">
        <f aca="false">(K195/100 + Q195/5) / 2</f>
        <v>0.36505</v>
      </c>
    </row>
    <row r="196" customFormat="false" ht="12.8" hidden="false" customHeight="false" outlineLevel="0" collapsed="false">
      <c r="A196" s="0" t="s">
        <v>1191</v>
      </c>
      <c r="B196" s="0" t="s">
        <v>1192</v>
      </c>
      <c r="C196" s="0" t="s">
        <v>1193</v>
      </c>
      <c r="D196" s="0" t="s">
        <v>1194</v>
      </c>
      <c r="E196" s="0" t="s">
        <v>1195</v>
      </c>
      <c r="F196" s="0" t="n">
        <v>0</v>
      </c>
      <c r="G196" s="0" t="n">
        <v>1</v>
      </c>
      <c r="H196" s="0" t="n">
        <v>0</v>
      </c>
      <c r="I196" s="0" t="n">
        <v>68.04</v>
      </c>
      <c r="J196" s="0" t="n">
        <v>100</v>
      </c>
      <c r="K196" s="0" t="n">
        <v>70.14</v>
      </c>
      <c r="L196" s="0" t="n">
        <v>0.74</v>
      </c>
      <c r="M196" s="0" t="n">
        <v>0.99</v>
      </c>
      <c r="N196" s="0" t="n">
        <v>0.95</v>
      </c>
      <c r="O196" s="0" t="n">
        <v>4.15</v>
      </c>
      <c r="P196" s="0" t="n">
        <v>4.38</v>
      </c>
      <c r="Q196" s="0" t="n">
        <v>3.99</v>
      </c>
      <c r="R196" s="0" t="s">
        <v>1196</v>
      </c>
      <c r="S196" s="0" t="s">
        <v>1197</v>
      </c>
      <c r="T196" s="0" t="s">
        <v>1100</v>
      </c>
      <c r="U196" s="0" t="s">
        <v>36</v>
      </c>
      <c r="V196" s="0" t="n">
        <f aca="false">(I196/100 + O196/5) / 2</f>
        <v>0.7552</v>
      </c>
      <c r="W196" s="0" t="n">
        <f aca="false">(J196/100 + P196/5) / 2</f>
        <v>0.938</v>
      </c>
      <c r="X196" s="0" t="n">
        <f aca="false">(K196/100 + Q196/5) / 2</f>
        <v>0.7497</v>
      </c>
    </row>
    <row r="197" customFormat="false" ht="12.8" hidden="false" customHeight="false" outlineLevel="0" collapsed="false">
      <c r="A197" s="0" t="s">
        <v>1198</v>
      </c>
      <c r="B197" s="0" t="s">
        <v>1199</v>
      </c>
      <c r="C197" s="0" t="s">
        <v>1200</v>
      </c>
      <c r="D197" s="0" t="s">
        <v>1201</v>
      </c>
      <c r="E197" s="0" t="s">
        <v>1202</v>
      </c>
      <c r="F197" s="0" t="n">
        <v>1</v>
      </c>
      <c r="G197" s="0" t="n">
        <v>1</v>
      </c>
      <c r="H197" s="0" t="n">
        <v>1</v>
      </c>
      <c r="I197" s="0" t="n">
        <v>44.12</v>
      </c>
      <c r="J197" s="0" t="n">
        <v>44.12</v>
      </c>
      <c r="K197" s="0" t="n">
        <v>23.36</v>
      </c>
      <c r="L197" s="0" t="n">
        <v>0.95</v>
      </c>
      <c r="M197" s="0" t="n">
        <v>0.95</v>
      </c>
      <c r="N197" s="0" t="n">
        <v>0.94</v>
      </c>
      <c r="O197" s="0" t="n">
        <v>4.48</v>
      </c>
      <c r="P197" s="0" t="n">
        <v>4.48</v>
      </c>
      <c r="Q197" s="0" t="n">
        <v>4.36</v>
      </c>
      <c r="R197" s="0" t="s">
        <v>1203</v>
      </c>
      <c r="S197" s="0" t="s">
        <v>26</v>
      </c>
      <c r="T197" s="0" t="s">
        <v>92</v>
      </c>
      <c r="U197" s="0" t="s">
        <v>50</v>
      </c>
      <c r="V197" s="0" t="n">
        <f aca="false">(I197/100 + O197/5) / 2</f>
        <v>0.6686</v>
      </c>
      <c r="W197" s="0" t="n">
        <f aca="false">(J197/100 + P197/5) / 2</f>
        <v>0.6686</v>
      </c>
      <c r="X197" s="0" t="n">
        <f aca="false">(K197/100 + Q197/5) / 2</f>
        <v>0.5528</v>
      </c>
    </row>
    <row r="198" customFormat="false" ht="12.8" hidden="false" customHeight="false" outlineLevel="0" collapsed="false">
      <c r="A198" s="0" t="s">
        <v>1204</v>
      </c>
      <c r="B198" s="0" t="s">
        <v>1205</v>
      </c>
      <c r="C198" s="0" t="s">
        <v>1206</v>
      </c>
      <c r="D198" s="0" t="s">
        <v>1207</v>
      </c>
      <c r="E198" s="0" t="s">
        <v>1208</v>
      </c>
      <c r="F198" s="0" t="n">
        <v>1</v>
      </c>
      <c r="G198" s="0" t="n">
        <v>1</v>
      </c>
      <c r="H198" s="0" t="n">
        <v>1</v>
      </c>
      <c r="I198" s="0" t="n">
        <v>27.48</v>
      </c>
      <c r="J198" s="0" t="n">
        <v>64.32</v>
      </c>
      <c r="K198" s="0" t="n">
        <v>9.04</v>
      </c>
      <c r="L198" s="0" t="n">
        <v>0.97</v>
      </c>
      <c r="M198" s="0" t="n">
        <v>0.97</v>
      </c>
      <c r="N198" s="0" t="n">
        <v>0.97</v>
      </c>
      <c r="O198" s="0" t="n">
        <v>4.57</v>
      </c>
      <c r="P198" s="0" t="n">
        <v>4.68</v>
      </c>
      <c r="Q198" s="0" t="n">
        <v>4.49</v>
      </c>
      <c r="R198" s="0" t="s">
        <v>125</v>
      </c>
      <c r="S198" s="0" t="s">
        <v>26</v>
      </c>
      <c r="T198" s="0" t="s">
        <v>92</v>
      </c>
      <c r="U198" s="0" t="s">
        <v>28</v>
      </c>
      <c r="V198" s="0" t="n">
        <f aca="false">(I198/100 + O198/5) / 2</f>
        <v>0.5944</v>
      </c>
      <c r="W198" s="0" t="n">
        <f aca="false">(J198/100 + P198/5) / 2</f>
        <v>0.7896</v>
      </c>
      <c r="X198" s="0" t="n">
        <f aca="false">(K198/100 + Q198/5) / 2</f>
        <v>0.4942</v>
      </c>
    </row>
    <row r="199" customFormat="false" ht="12.8" hidden="false" customHeight="false" outlineLevel="0" collapsed="false">
      <c r="A199" s="0" t="s">
        <v>1209</v>
      </c>
      <c r="B199" s="0" t="s">
        <v>1210</v>
      </c>
      <c r="C199" s="0" t="s">
        <v>1210</v>
      </c>
      <c r="D199" s="0" t="s">
        <v>1211</v>
      </c>
      <c r="E199" s="0" t="s">
        <v>1211</v>
      </c>
      <c r="F199" s="0" t="n">
        <v>1</v>
      </c>
      <c r="G199" s="0" t="n">
        <v>1</v>
      </c>
      <c r="H199" s="0" t="n">
        <v>1</v>
      </c>
      <c r="I199" s="0" t="n">
        <v>100</v>
      </c>
      <c r="J199" s="0" t="n">
        <v>100</v>
      </c>
      <c r="K199" s="0" t="n">
        <v>100</v>
      </c>
      <c r="L199" s="0" t="n">
        <v>0.98</v>
      </c>
      <c r="M199" s="0" t="n">
        <v>0.98</v>
      </c>
      <c r="N199" s="0" t="n">
        <v>0.98</v>
      </c>
      <c r="O199" s="0" t="n">
        <v>5.01</v>
      </c>
      <c r="P199" s="0" t="n">
        <v>5.01</v>
      </c>
      <c r="Q199" s="0" t="n">
        <v>5.01</v>
      </c>
      <c r="R199" s="0" t="s">
        <v>26</v>
      </c>
      <c r="S199" s="0" t="s">
        <v>26</v>
      </c>
      <c r="T199" s="0" t="s">
        <v>26</v>
      </c>
      <c r="U199" s="0" t="s">
        <v>54</v>
      </c>
      <c r="V199" s="0" t="n">
        <f aca="false">(I199/100 + O199/5) / 2</f>
        <v>1.001</v>
      </c>
      <c r="W199" s="0" t="n">
        <f aca="false">(J199/100 + P199/5) / 2</f>
        <v>1.001</v>
      </c>
      <c r="X199" s="0" t="n">
        <f aca="false">(K199/100 + Q199/5) / 2</f>
        <v>1.001</v>
      </c>
    </row>
    <row r="200" customFormat="false" ht="12.8" hidden="false" customHeight="false" outlineLevel="0" collapsed="false">
      <c r="A200" s="0" t="s">
        <v>1212</v>
      </c>
      <c r="B200" s="0" t="s">
        <v>1213</v>
      </c>
      <c r="C200" s="0" t="s">
        <v>1213</v>
      </c>
      <c r="D200" s="0" t="s">
        <v>1214</v>
      </c>
      <c r="E200" s="0" t="s">
        <v>1215</v>
      </c>
      <c r="F200" s="0" t="n">
        <v>1</v>
      </c>
      <c r="G200" s="0" t="n">
        <v>0</v>
      </c>
      <c r="H200" s="0" t="n">
        <v>1</v>
      </c>
      <c r="I200" s="0" t="n">
        <v>100</v>
      </c>
      <c r="J200" s="0" t="n">
        <v>69.98</v>
      </c>
      <c r="K200" s="0" t="n">
        <v>83.14</v>
      </c>
      <c r="L200" s="0" t="n">
        <v>0.98</v>
      </c>
      <c r="M200" s="0" t="n">
        <v>0.95</v>
      </c>
      <c r="N200" s="0" t="n">
        <v>0.94</v>
      </c>
      <c r="O200" s="0" t="n">
        <v>4.92</v>
      </c>
      <c r="P200" s="0" t="n">
        <v>4.65</v>
      </c>
      <c r="Q200" s="0" t="n">
        <v>4.71</v>
      </c>
      <c r="R200" s="0" t="s">
        <v>1216</v>
      </c>
      <c r="S200" s="0" t="s">
        <v>1217</v>
      </c>
      <c r="T200" s="0" t="s">
        <v>1218</v>
      </c>
      <c r="U200" s="0" t="s">
        <v>36</v>
      </c>
      <c r="V200" s="0" t="n">
        <f aca="false">(I200/100 + O200/5) / 2</f>
        <v>0.992</v>
      </c>
      <c r="W200" s="0" t="n">
        <f aca="false">(J200/100 + P200/5) / 2</f>
        <v>0.8149</v>
      </c>
      <c r="X200" s="0" t="n">
        <f aca="false">(K200/100 + Q200/5) / 2</f>
        <v>0.8867</v>
      </c>
    </row>
    <row r="201" customFormat="false" ht="12.8" hidden="false" customHeight="false" outlineLevel="0" collapsed="false">
      <c r="A201" s="0" t="s">
        <v>1219</v>
      </c>
      <c r="B201" s="0" t="s">
        <v>1220</v>
      </c>
      <c r="C201" s="0" t="s">
        <v>1221</v>
      </c>
      <c r="D201" s="0" t="s">
        <v>1222</v>
      </c>
      <c r="E201" s="0" t="s">
        <v>1223</v>
      </c>
      <c r="F201" s="0" t="n">
        <v>1</v>
      </c>
      <c r="G201" s="0" t="n">
        <v>1</v>
      </c>
      <c r="H201" s="0" t="n">
        <v>1</v>
      </c>
      <c r="I201" s="0" t="n">
        <v>67.53</v>
      </c>
      <c r="J201" s="0" t="n">
        <v>100</v>
      </c>
      <c r="K201" s="0" t="n">
        <v>67.53</v>
      </c>
      <c r="L201" s="0" t="n">
        <v>0.97</v>
      </c>
      <c r="M201" s="0" t="n">
        <v>0.99</v>
      </c>
      <c r="N201" s="0" t="n">
        <v>0.97</v>
      </c>
      <c r="O201" s="0" t="n">
        <v>4.52</v>
      </c>
      <c r="P201" s="0" t="n">
        <v>4.57</v>
      </c>
      <c r="Q201" s="0" t="n">
        <v>4.52</v>
      </c>
      <c r="R201" s="0" t="s">
        <v>1224</v>
      </c>
      <c r="S201" s="0" t="s">
        <v>26</v>
      </c>
      <c r="T201" s="0" t="s">
        <v>26</v>
      </c>
      <c r="U201" s="0" t="s">
        <v>50</v>
      </c>
      <c r="V201" s="0" t="n">
        <f aca="false">(I201/100 + O201/5) / 2</f>
        <v>0.78965</v>
      </c>
      <c r="W201" s="0" t="n">
        <f aca="false">(J201/100 + P201/5) / 2</f>
        <v>0.957</v>
      </c>
      <c r="X201" s="0" t="n">
        <f aca="false">(K201/100 + Q201/5) / 2</f>
        <v>0.78965</v>
      </c>
    </row>
    <row r="202" customFormat="false" ht="12.8" hidden="false" customHeight="false" outlineLevel="0" collapsed="false">
      <c r="A202" s="0" t="s">
        <v>1225</v>
      </c>
      <c r="B202" s="0" t="s">
        <v>1226</v>
      </c>
      <c r="C202" s="0" t="s">
        <v>1226</v>
      </c>
      <c r="D202" s="0" t="s">
        <v>1227</v>
      </c>
      <c r="E202" s="0" t="s">
        <v>1227</v>
      </c>
      <c r="F202" s="0" t="n">
        <v>1</v>
      </c>
      <c r="G202" s="0" t="n">
        <v>1</v>
      </c>
      <c r="H202" s="0" t="n">
        <v>1</v>
      </c>
      <c r="I202" s="0" t="n">
        <v>100</v>
      </c>
      <c r="J202" s="0" t="n">
        <v>100</v>
      </c>
      <c r="K202" s="0" t="n">
        <v>100</v>
      </c>
      <c r="L202" s="0" t="n">
        <v>0.99</v>
      </c>
      <c r="M202" s="0" t="n">
        <v>0.99</v>
      </c>
      <c r="N202" s="0" t="n">
        <v>0.99</v>
      </c>
      <c r="O202" s="0" t="n">
        <v>4.86</v>
      </c>
      <c r="P202" s="0" t="n">
        <v>4.86</v>
      </c>
      <c r="Q202" s="0" t="n">
        <v>4.86</v>
      </c>
      <c r="R202" s="0" t="s">
        <v>26</v>
      </c>
      <c r="S202" s="0" t="s">
        <v>26</v>
      </c>
      <c r="T202" s="0" t="s">
        <v>26</v>
      </c>
      <c r="U202" s="0" t="s">
        <v>54</v>
      </c>
      <c r="V202" s="0" t="n">
        <f aca="false">(I202/100 + O202/5) / 2</f>
        <v>0.986</v>
      </c>
      <c r="W202" s="0" t="n">
        <f aca="false">(J202/100 + P202/5) / 2</f>
        <v>0.986</v>
      </c>
      <c r="X202" s="0" t="n">
        <f aca="false">(K202/100 + Q202/5) / 2</f>
        <v>0.986</v>
      </c>
    </row>
    <row r="203" customFormat="false" ht="12.8" hidden="false" customHeight="false" outlineLevel="0" collapsed="false">
      <c r="A203" s="0" t="s">
        <v>1228</v>
      </c>
      <c r="B203" s="0" t="s">
        <v>1229</v>
      </c>
      <c r="C203" s="0" t="s">
        <v>1229</v>
      </c>
      <c r="D203" s="0" t="s">
        <v>1230</v>
      </c>
      <c r="E203" s="0" t="s">
        <v>1231</v>
      </c>
      <c r="F203" s="0" t="n">
        <v>1</v>
      </c>
      <c r="G203" s="0" t="n">
        <v>1</v>
      </c>
      <c r="H203" s="0" t="n">
        <v>1</v>
      </c>
      <c r="I203" s="0" t="n">
        <v>100</v>
      </c>
      <c r="J203" s="0" t="n">
        <v>100</v>
      </c>
      <c r="K203" s="0" t="n">
        <v>59.69</v>
      </c>
      <c r="L203" s="0" t="n">
        <v>0.98</v>
      </c>
      <c r="M203" s="0" t="n">
        <v>0.98</v>
      </c>
      <c r="N203" s="0" t="n">
        <v>0.96</v>
      </c>
      <c r="O203" s="0" t="n">
        <v>4.8</v>
      </c>
      <c r="P203" s="0" t="n">
        <v>4.8</v>
      </c>
      <c r="Q203" s="0" t="n">
        <v>4.72</v>
      </c>
      <c r="R203" s="0" t="s">
        <v>1232</v>
      </c>
      <c r="S203" s="0" t="s">
        <v>26</v>
      </c>
      <c r="T203" s="0" t="s">
        <v>26</v>
      </c>
      <c r="U203" s="0" t="s">
        <v>50</v>
      </c>
      <c r="V203" s="0" t="n">
        <f aca="false">(I203/100 + O203/5) / 2</f>
        <v>0.98</v>
      </c>
      <c r="W203" s="0" t="n">
        <f aca="false">(J203/100 + P203/5) / 2</f>
        <v>0.98</v>
      </c>
      <c r="X203" s="0" t="n">
        <f aca="false">(K203/100 + Q203/5) / 2</f>
        <v>0.77045</v>
      </c>
    </row>
    <row r="204" customFormat="false" ht="12.8" hidden="false" customHeight="false" outlineLevel="0" collapsed="false">
      <c r="A204" s="0" t="s">
        <v>1233</v>
      </c>
      <c r="B204" s="0" t="s">
        <v>1234</v>
      </c>
      <c r="C204" s="0" t="s">
        <v>1235</v>
      </c>
      <c r="D204" s="0" t="s">
        <v>1236</v>
      </c>
      <c r="E204" s="0" t="s">
        <v>1236</v>
      </c>
      <c r="F204" s="0" t="n">
        <v>1</v>
      </c>
      <c r="G204" s="0" t="n">
        <v>1</v>
      </c>
      <c r="H204" s="0" t="n">
        <v>1</v>
      </c>
      <c r="I204" s="0" t="n">
        <v>88.25</v>
      </c>
      <c r="J204" s="0" t="n">
        <v>88.25</v>
      </c>
      <c r="K204" s="0" t="n">
        <v>88.25</v>
      </c>
      <c r="L204" s="0" t="n">
        <v>0.97</v>
      </c>
      <c r="M204" s="0" t="n">
        <v>0.97</v>
      </c>
      <c r="N204" s="0" t="n">
        <v>0.97</v>
      </c>
      <c r="O204" s="0" t="n">
        <v>4.51</v>
      </c>
      <c r="P204" s="0" t="n">
        <v>4.51</v>
      </c>
      <c r="Q204" s="0" t="n">
        <v>4.51</v>
      </c>
      <c r="R204" s="0" t="s">
        <v>26</v>
      </c>
      <c r="S204" s="0" t="s">
        <v>26</v>
      </c>
      <c r="T204" s="0" t="s">
        <v>26</v>
      </c>
      <c r="U204" s="0" t="s">
        <v>54</v>
      </c>
      <c r="V204" s="0" t="n">
        <f aca="false">(I204/100 + O204/5) / 2</f>
        <v>0.89225</v>
      </c>
      <c r="W204" s="0" t="n">
        <f aca="false">(J204/100 + P204/5) / 2</f>
        <v>0.89225</v>
      </c>
      <c r="X204" s="0" t="n">
        <f aca="false">(K204/100 + Q204/5) / 2</f>
        <v>0.89225</v>
      </c>
    </row>
    <row r="205" customFormat="false" ht="12.8" hidden="false" customHeight="false" outlineLevel="0" collapsed="false">
      <c r="A205" s="0" t="s">
        <v>1237</v>
      </c>
      <c r="B205" s="0" t="s">
        <v>1238</v>
      </c>
      <c r="C205" s="0" t="s">
        <v>1239</v>
      </c>
      <c r="D205" s="0" t="s">
        <v>1240</v>
      </c>
      <c r="E205" s="0" t="s">
        <v>1241</v>
      </c>
      <c r="F205" s="0" t="n">
        <v>1</v>
      </c>
      <c r="G205" s="0" t="n">
        <v>1</v>
      </c>
      <c r="H205" s="0" t="n">
        <v>1</v>
      </c>
      <c r="I205" s="0" t="n">
        <v>41.11</v>
      </c>
      <c r="J205" s="0" t="n">
        <v>20.56</v>
      </c>
      <c r="K205" s="0" t="n">
        <v>33.44</v>
      </c>
      <c r="L205" s="0" t="n">
        <v>0.95</v>
      </c>
      <c r="M205" s="0" t="n">
        <v>0.94</v>
      </c>
      <c r="N205" s="0" t="n">
        <v>0.97</v>
      </c>
      <c r="O205" s="0" t="n">
        <v>4.52</v>
      </c>
      <c r="P205" s="0" t="n">
        <v>4.11</v>
      </c>
      <c r="Q205" s="0" t="n">
        <v>4.23</v>
      </c>
      <c r="R205" s="0" t="s">
        <v>1242</v>
      </c>
      <c r="S205" s="0" t="s">
        <v>92</v>
      </c>
      <c r="T205" s="0" t="s">
        <v>286</v>
      </c>
      <c r="U205" s="0" t="s">
        <v>28</v>
      </c>
      <c r="V205" s="0" t="n">
        <f aca="false">(I205/100 + O205/5) / 2</f>
        <v>0.65755</v>
      </c>
      <c r="W205" s="0" t="n">
        <f aca="false">(J205/100 + P205/5) / 2</f>
        <v>0.5138</v>
      </c>
      <c r="X205" s="0" t="n">
        <f aca="false">(K205/100 + Q205/5) / 2</f>
        <v>0.5902</v>
      </c>
    </row>
    <row r="206" customFormat="false" ht="12.8" hidden="false" customHeight="false" outlineLevel="0" collapsed="false">
      <c r="A206" s="0" t="s">
        <v>1243</v>
      </c>
      <c r="B206" s="0" t="s">
        <v>1244</v>
      </c>
      <c r="C206" s="0" t="s">
        <v>1245</v>
      </c>
      <c r="D206" s="0" t="s">
        <v>1246</v>
      </c>
      <c r="E206" s="0" t="s">
        <v>1247</v>
      </c>
      <c r="F206" s="0" t="n">
        <v>1</v>
      </c>
      <c r="G206" s="0" t="n">
        <v>1</v>
      </c>
      <c r="H206" s="0" t="n">
        <v>1</v>
      </c>
      <c r="I206" s="0" t="n">
        <v>14.54</v>
      </c>
      <c r="J206" s="0" t="n">
        <v>100</v>
      </c>
      <c r="K206" s="0" t="n">
        <v>70.14</v>
      </c>
      <c r="L206" s="0" t="n">
        <v>0.9</v>
      </c>
      <c r="M206" s="0" t="n">
        <v>0.96</v>
      </c>
      <c r="N206" s="0" t="n">
        <v>0.88</v>
      </c>
      <c r="O206" s="0" t="n">
        <v>4.38</v>
      </c>
      <c r="P206" s="0" t="n">
        <v>4.67</v>
      </c>
      <c r="Q206" s="0" t="n">
        <v>4.49</v>
      </c>
      <c r="R206" s="0" t="s">
        <v>1248</v>
      </c>
      <c r="S206" s="0" t="s">
        <v>327</v>
      </c>
      <c r="T206" s="0" t="s">
        <v>510</v>
      </c>
      <c r="U206" s="0" t="s">
        <v>93</v>
      </c>
      <c r="V206" s="0" t="n">
        <f aca="false">(I206/100 + O206/5) / 2</f>
        <v>0.5107</v>
      </c>
      <c r="W206" s="0" t="n">
        <f aca="false">(J206/100 + P206/5) / 2</f>
        <v>0.967</v>
      </c>
      <c r="X206" s="0" t="n">
        <f aca="false">(K206/100 + Q206/5) / 2</f>
        <v>0.7997</v>
      </c>
    </row>
    <row r="207" customFormat="false" ht="12.8" hidden="false" customHeight="false" outlineLevel="0" collapsed="false">
      <c r="A207" s="0" t="s">
        <v>1249</v>
      </c>
      <c r="B207" s="0" t="s">
        <v>1250</v>
      </c>
      <c r="C207" s="0" t="s">
        <v>1250</v>
      </c>
      <c r="D207" s="0" t="s">
        <v>1251</v>
      </c>
      <c r="E207" s="0" t="s">
        <v>1252</v>
      </c>
      <c r="F207" s="0" t="n">
        <v>1</v>
      </c>
      <c r="G207" s="0" t="n">
        <v>1</v>
      </c>
      <c r="H207" s="0" t="n">
        <v>1</v>
      </c>
      <c r="I207" s="0" t="n">
        <v>100</v>
      </c>
      <c r="J207" s="0" t="n">
        <v>100</v>
      </c>
      <c r="K207" s="0" t="n">
        <v>70.17</v>
      </c>
      <c r="L207" s="0" t="n">
        <v>0.97</v>
      </c>
      <c r="M207" s="0" t="n">
        <v>0.97</v>
      </c>
      <c r="N207" s="0" t="n">
        <v>0.92</v>
      </c>
      <c r="O207" s="0" t="n">
        <v>5.05</v>
      </c>
      <c r="P207" s="0" t="n">
        <v>5.05</v>
      </c>
      <c r="Q207" s="0" t="n">
        <v>4.59</v>
      </c>
      <c r="R207" s="0" t="s">
        <v>49</v>
      </c>
      <c r="S207" s="0" t="s">
        <v>188</v>
      </c>
      <c r="T207" s="0" t="s">
        <v>136</v>
      </c>
      <c r="U207" s="0" t="s">
        <v>28</v>
      </c>
      <c r="V207" s="0" t="n">
        <f aca="false">(I207/100 + O207/5) / 2</f>
        <v>1.005</v>
      </c>
      <c r="W207" s="0" t="n">
        <f aca="false">(J207/100 + P207/5) / 2</f>
        <v>1.005</v>
      </c>
      <c r="X207" s="0" t="n">
        <f aca="false">(K207/100 + Q207/5) / 2</f>
        <v>0.80985</v>
      </c>
    </row>
    <row r="208" customFormat="false" ht="12.8" hidden="false" customHeight="false" outlineLevel="0" collapsed="false">
      <c r="A208" s="0" t="s">
        <v>1253</v>
      </c>
      <c r="B208" s="0" t="s">
        <v>1254</v>
      </c>
      <c r="C208" s="0" t="s">
        <v>1255</v>
      </c>
      <c r="D208" s="0" t="s">
        <v>1256</v>
      </c>
      <c r="E208" s="0" t="s">
        <v>1256</v>
      </c>
      <c r="F208" s="0" t="n">
        <v>1</v>
      </c>
      <c r="G208" s="0" t="n">
        <v>1</v>
      </c>
      <c r="H208" s="0" t="n">
        <v>1</v>
      </c>
      <c r="I208" s="0" t="n">
        <v>73.49</v>
      </c>
      <c r="J208" s="0" t="n">
        <v>100</v>
      </c>
      <c r="K208" s="0" t="n">
        <v>100</v>
      </c>
      <c r="L208" s="0" t="n">
        <v>0.95</v>
      </c>
      <c r="M208" s="0" t="n">
        <v>0.98</v>
      </c>
      <c r="N208" s="0" t="n">
        <v>0.98</v>
      </c>
      <c r="O208" s="0" t="n">
        <v>4.88</v>
      </c>
      <c r="P208" s="0" t="n">
        <v>4.92</v>
      </c>
      <c r="Q208" s="0" t="n">
        <v>4.92</v>
      </c>
      <c r="R208" s="0" t="s">
        <v>783</v>
      </c>
      <c r="S208" s="0" t="s">
        <v>92</v>
      </c>
      <c r="T208" s="0" t="s">
        <v>26</v>
      </c>
      <c r="U208" s="0" t="s">
        <v>93</v>
      </c>
      <c r="V208" s="0" t="n">
        <f aca="false">(I208/100 + O208/5) / 2</f>
        <v>0.85545</v>
      </c>
      <c r="W208" s="0" t="n">
        <f aca="false">(J208/100 + P208/5) / 2</f>
        <v>0.992</v>
      </c>
      <c r="X208" s="0" t="n">
        <f aca="false">(K208/100 + Q208/5) / 2</f>
        <v>0.992</v>
      </c>
    </row>
    <row r="209" customFormat="false" ht="12.8" hidden="false" customHeight="false" outlineLevel="0" collapsed="false">
      <c r="A209" s="0" t="s">
        <v>1257</v>
      </c>
      <c r="B209" s="0" t="s">
        <v>1258</v>
      </c>
      <c r="C209" s="0" t="s">
        <v>1258</v>
      </c>
      <c r="D209" s="0" t="s">
        <v>1259</v>
      </c>
      <c r="E209" s="0" t="s">
        <v>1259</v>
      </c>
      <c r="F209" s="0" t="n">
        <v>1</v>
      </c>
      <c r="G209" s="0" t="n">
        <v>1</v>
      </c>
      <c r="H209" s="0" t="n">
        <v>1</v>
      </c>
      <c r="I209" s="0" t="n">
        <v>100</v>
      </c>
      <c r="J209" s="0" t="n">
        <v>100</v>
      </c>
      <c r="K209" s="0" t="n">
        <v>100</v>
      </c>
      <c r="L209" s="0" t="n">
        <v>0.99</v>
      </c>
      <c r="M209" s="0" t="n">
        <v>0.99</v>
      </c>
      <c r="N209" s="0" t="n">
        <v>0.99</v>
      </c>
      <c r="O209" s="0" t="n">
        <v>4.8</v>
      </c>
      <c r="P209" s="0" t="n">
        <v>4.8</v>
      </c>
      <c r="Q209" s="0" t="n">
        <v>4.8</v>
      </c>
      <c r="R209" s="0" t="s">
        <v>26</v>
      </c>
      <c r="S209" s="0" t="s">
        <v>26</v>
      </c>
      <c r="T209" s="0" t="s">
        <v>26</v>
      </c>
      <c r="U209" s="0" t="s">
        <v>54</v>
      </c>
      <c r="V209" s="0" t="n">
        <f aca="false">(I209/100 + O209/5) / 2</f>
        <v>0.98</v>
      </c>
      <c r="W209" s="0" t="n">
        <f aca="false">(J209/100 + P209/5) / 2</f>
        <v>0.98</v>
      </c>
      <c r="X209" s="0" t="n">
        <f aca="false">(K209/100 + Q209/5) / 2</f>
        <v>0.98</v>
      </c>
    </row>
    <row r="210" customFormat="false" ht="12.8" hidden="false" customHeight="false" outlineLevel="0" collapsed="false">
      <c r="A210" s="0" t="s">
        <v>1260</v>
      </c>
      <c r="B210" s="0" t="s">
        <v>1261</v>
      </c>
      <c r="C210" s="0" t="s">
        <v>1262</v>
      </c>
      <c r="D210" s="0" t="s">
        <v>1263</v>
      </c>
      <c r="E210" s="0" t="s">
        <v>1264</v>
      </c>
      <c r="F210" s="0" t="n">
        <v>1</v>
      </c>
      <c r="G210" s="0" t="n">
        <v>1</v>
      </c>
      <c r="H210" s="0" t="n">
        <v>1</v>
      </c>
      <c r="I210" s="0" t="n">
        <v>58.12</v>
      </c>
      <c r="J210" s="0" t="n">
        <v>58.12</v>
      </c>
      <c r="K210" s="0" t="n">
        <v>81.49</v>
      </c>
      <c r="L210" s="0" t="n">
        <v>0.97</v>
      </c>
      <c r="M210" s="0" t="n">
        <v>0.96</v>
      </c>
      <c r="N210" s="0" t="n">
        <v>0.97</v>
      </c>
      <c r="O210" s="0" t="n">
        <v>4.73</v>
      </c>
      <c r="P210" s="0" t="n">
        <v>4.71</v>
      </c>
      <c r="Q210" s="0" t="n">
        <v>4.76</v>
      </c>
      <c r="R210" s="0" t="s">
        <v>1265</v>
      </c>
      <c r="S210" s="0" t="s">
        <v>26</v>
      </c>
      <c r="T210" s="0" t="s">
        <v>26</v>
      </c>
      <c r="U210" s="0" t="s">
        <v>50</v>
      </c>
      <c r="V210" s="0" t="n">
        <f aca="false">(I210/100 + O210/5) / 2</f>
        <v>0.7636</v>
      </c>
      <c r="W210" s="0" t="n">
        <f aca="false">(J210/100 + P210/5) / 2</f>
        <v>0.7616</v>
      </c>
      <c r="X210" s="0" t="n">
        <f aca="false">(K210/100 + Q210/5) / 2</f>
        <v>0.88345</v>
      </c>
    </row>
    <row r="211" customFormat="false" ht="12.8" hidden="false" customHeight="false" outlineLevel="0" collapsed="false">
      <c r="A211" s="0" t="s">
        <v>1266</v>
      </c>
      <c r="B211" s="0" t="s">
        <v>1267</v>
      </c>
      <c r="C211" s="0" t="s">
        <v>1267</v>
      </c>
      <c r="D211" s="0" t="s">
        <v>1268</v>
      </c>
      <c r="E211" s="0" t="s">
        <v>1268</v>
      </c>
      <c r="F211" s="0" t="n">
        <v>1</v>
      </c>
      <c r="G211" s="0" t="n">
        <v>1</v>
      </c>
      <c r="H211" s="0" t="n">
        <v>1</v>
      </c>
      <c r="I211" s="0" t="n">
        <v>100</v>
      </c>
      <c r="J211" s="0" t="n">
        <v>100</v>
      </c>
      <c r="K211" s="0" t="n">
        <v>100</v>
      </c>
      <c r="L211" s="0" t="n">
        <v>0.99</v>
      </c>
      <c r="M211" s="0" t="n">
        <v>0.99</v>
      </c>
      <c r="N211" s="0" t="n">
        <v>0.99</v>
      </c>
      <c r="O211" s="0" t="n">
        <v>4.86</v>
      </c>
      <c r="P211" s="0" t="n">
        <v>4.86</v>
      </c>
      <c r="Q211" s="0" t="n">
        <v>4.86</v>
      </c>
      <c r="R211" s="0" t="s">
        <v>26</v>
      </c>
      <c r="S211" s="0" t="s">
        <v>26</v>
      </c>
      <c r="T211" s="0" t="s">
        <v>26</v>
      </c>
      <c r="U211" s="0" t="s">
        <v>54</v>
      </c>
      <c r="V211" s="0" t="n">
        <f aca="false">(I211/100 + O211/5) / 2</f>
        <v>0.986</v>
      </c>
      <c r="W211" s="0" t="n">
        <f aca="false">(J211/100 + P211/5) / 2</f>
        <v>0.986</v>
      </c>
      <c r="X211" s="0" t="n">
        <f aca="false">(K211/100 + Q211/5) / 2</f>
        <v>0.986</v>
      </c>
    </row>
    <row r="212" customFormat="false" ht="12.8" hidden="false" customHeight="false" outlineLevel="0" collapsed="false">
      <c r="A212" s="0" t="s">
        <v>1269</v>
      </c>
      <c r="B212" s="0" t="s">
        <v>1270</v>
      </c>
      <c r="C212" s="0" t="s">
        <v>1270</v>
      </c>
      <c r="D212" s="0" t="s">
        <v>1271</v>
      </c>
      <c r="E212" s="0" t="s">
        <v>1271</v>
      </c>
      <c r="F212" s="0" t="n">
        <v>1</v>
      </c>
      <c r="G212" s="0" t="n">
        <v>1</v>
      </c>
      <c r="H212" s="0" t="n">
        <v>1</v>
      </c>
      <c r="I212" s="0" t="n">
        <v>100</v>
      </c>
      <c r="J212" s="0" t="n">
        <v>64.32</v>
      </c>
      <c r="K212" s="0" t="n">
        <v>64.32</v>
      </c>
      <c r="L212" s="0" t="n">
        <v>0.99</v>
      </c>
      <c r="M212" s="0" t="n">
        <v>0.95</v>
      </c>
      <c r="N212" s="0" t="n">
        <v>0.95</v>
      </c>
      <c r="O212" s="0" t="n">
        <v>4.88</v>
      </c>
      <c r="P212" s="0" t="n">
        <v>4.7</v>
      </c>
      <c r="Q212" s="0" t="n">
        <v>4.7</v>
      </c>
      <c r="R212" s="0" t="s">
        <v>1272</v>
      </c>
      <c r="S212" s="0" t="s">
        <v>27</v>
      </c>
      <c r="T212" s="0" t="s">
        <v>27</v>
      </c>
      <c r="U212" s="0" t="s">
        <v>93</v>
      </c>
      <c r="V212" s="0" t="n">
        <f aca="false">(I212/100 + O212/5) / 2</f>
        <v>0.988</v>
      </c>
      <c r="W212" s="0" t="n">
        <f aca="false">(J212/100 + P212/5) / 2</f>
        <v>0.7916</v>
      </c>
      <c r="X212" s="0" t="n">
        <f aca="false">(K212/100 + Q212/5) / 2</f>
        <v>0.7916</v>
      </c>
    </row>
    <row r="213" customFormat="false" ht="12.8" hidden="false" customHeight="false" outlineLevel="0" collapsed="false">
      <c r="A213" s="0" t="s">
        <v>1273</v>
      </c>
      <c r="B213" s="0" t="s">
        <v>1274</v>
      </c>
      <c r="C213" s="0" t="s">
        <v>1275</v>
      </c>
      <c r="D213" s="0" t="s">
        <v>1276</v>
      </c>
      <c r="E213" s="0" t="s">
        <v>1277</v>
      </c>
      <c r="F213" s="0" t="n">
        <v>1</v>
      </c>
      <c r="G213" s="0" t="n">
        <v>1</v>
      </c>
      <c r="H213" s="0" t="n">
        <v>1</v>
      </c>
      <c r="I213" s="0" t="n">
        <v>61.02</v>
      </c>
      <c r="J213" s="0" t="n">
        <v>100</v>
      </c>
      <c r="K213" s="0" t="n">
        <v>33.76</v>
      </c>
      <c r="L213" s="0" t="n">
        <v>0.98</v>
      </c>
      <c r="M213" s="0" t="n">
        <v>0.99</v>
      </c>
      <c r="N213" s="0" t="n">
        <v>0.96</v>
      </c>
      <c r="O213" s="0" t="n">
        <v>4.86</v>
      </c>
      <c r="P213" s="0" t="n">
        <v>4.99</v>
      </c>
      <c r="Q213" s="0" t="n">
        <v>4.32</v>
      </c>
      <c r="R213" s="0" t="s">
        <v>1278</v>
      </c>
      <c r="S213" s="0" t="s">
        <v>92</v>
      </c>
      <c r="T213" s="0" t="s">
        <v>341</v>
      </c>
      <c r="U213" s="0" t="s">
        <v>28</v>
      </c>
      <c r="V213" s="0" t="n">
        <f aca="false">(I213/100 + O213/5) / 2</f>
        <v>0.7911</v>
      </c>
      <c r="W213" s="0" t="n">
        <f aca="false">(J213/100 + P213/5) / 2</f>
        <v>0.999</v>
      </c>
      <c r="X213" s="0" t="n">
        <f aca="false">(K213/100 + Q213/5) / 2</f>
        <v>0.6008</v>
      </c>
    </row>
    <row r="214" customFormat="false" ht="12.8" hidden="false" customHeight="false" outlineLevel="0" collapsed="false">
      <c r="A214" s="0" t="s">
        <v>1279</v>
      </c>
      <c r="B214" s="0" t="s">
        <v>1280</v>
      </c>
      <c r="C214" s="0" t="s">
        <v>1281</v>
      </c>
      <c r="D214" s="0" t="s">
        <v>1282</v>
      </c>
      <c r="E214" s="0" t="s">
        <v>1283</v>
      </c>
      <c r="F214" s="0" t="n">
        <v>1</v>
      </c>
      <c r="G214" s="0" t="n">
        <v>1</v>
      </c>
      <c r="H214" s="0" t="n">
        <v>1</v>
      </c>
      <c r="I214" s="0" t="n">
        <v>14.26</v>
      </c>
      <c r="J214" s="0" t="n">
        <v>64.32</v>
      </c>
      <c r="K214" s="0" t="n">
        <v>27.48</v>
      </c>
      <c r="L214" s="0" t="n">
        <v>0.88</v>
      </c>
      <c r="M214" s="0" t="n">
        <v>0.9</v>
      </c>
      <c r="N214" s="0" t="n">
        <v>0.91</v>
      </c>
      <c r="O214" s="0" t="n">
        <v>4.68</v>
      </c>
      <c r="P214" s="0" t="n">
        <v>4.48</v>
      </c>
      <c r="Q214" s="0" t="n">
        <v>4.43</v>
      </c>
      <c r="R214" s="0" t="s">
        <v>1284</v>
      </c>
      <c r="S214" s="0" t="s">
        <v>92</v>
      </c>
      <c r="T214" s="0" t="s">
        <v>188</v>
      </c>
      <c r="U214" s="0" t="s">
        <v>28</v>
      </c>
      <c r="V214" s="0" t="n">
        <f aca="false">(I214/100 + O214/5) / 2</f>
        <v>0.5393</v>
      </c>
      <c r="W214" s="0" t="n">
        <f aca="false">(J214/100 + P214/5) / 2</f>
        <v>0.7696</v>
      </c>
      <c r="X214" s="0" t="n">
        <f aca="false">(K214/100 + Q214/5) / 2</f>
        <v>0.5804</v>
      </c>
    </row>
    <row r="215" customFormat="false" ht="12.8" hidden="false" customHeight="false" outlineLevel="0" collapsed="false">
      <c r="A215" s="0" t="s">
        <v>1285</v>
      </c>
      <c r="B215" s="0" t="s">
        <v>1286</v>
      </c>
      <c r="C215" s="0" t="s">
        <v>1287</v>
      </c>
      <c r="D215" s="0" t="s">
        <v>1288</v>
      </c>
      <c r="E215" s="0" t="s">
        <v>1289</v>
      </c>
      <c r="F215" s="0" t="n">
        <v>1</v>
      </c>
      <c r="G215" s="0" t="n">
        <v>1</v>
      </c>
      <c r="H215" s="0" t="n">
        <v>1</v>
      </c>
      <c r="I215" s="0" t="n">
        <v>78.61</v>
      </c>
      <c r="J215" s="0" t="n">
        <v>78.61</v>
      </c>
      <c r="K215" s="0" t="n">
        <v>26.66</v>
      </c>
      <c r="L215" s="0" t="n">
        <v>0.97</v>
      </c>
      <c r="M215" s="0" t="n">
        <v>0.97</v>
      </c>
      <c r="N215" s="0" t="n">
        <v>0.96</v>
      </c>
      <c r="O215" s="0" t="n">
        <v>4.79</v>
      </c>
      <c r="P215" s="0" t="n">
        <v>4.79</v>
      </c>
      <c r="Q215" s="0" t="n">
        <v>4.78</v>
      </c>
      <c r="R215" s="0" t="s">
        <v>1290</v>
      </c>
      <c r="S215" s="0" t="s">
        <v>26</v>
      </c>
      <c r="T215" s="0" t="s">
        <v>26</v>
      </c>
      <c r="U215" s="0" t="s">
        <v>50</v>
      </c>
      <c r="V215" s="0" t="n">
        <f aca="false">(I215/100 + O215/5) / 2</f>
        <v>0.87205</v>
      </c>
      <c r="W215" s="0" t="n">
        <f aca="false">(J215/100 + P215/5) / 2</f>
        <v>0.87205</v>
      </c>
      <c r="X215" s="0" t="n">
        <f aca="false">(K215/100 + Q215/5) / 2</f>
        <v>0.6113</v>
      </c>
    </row>
    <row r="216" customFormat="false" ht="12.8" hidden="false" customHeight="false" outlineLevel="0" collapsed="false">
      <c r="A216" s="0" t="s">
        <v>1291</v>
      </c>
      <c r="B216" s="0" t="s">
        <v>1292</v>
      </c>
      <c r="C216" s="0" t="s">
        <v>1293</v>
      </c>
      <c r="D216" s="0" t="s">
        <v>1294</v>
      </c>
      <c r="E216" s="0" t="s">
        <v>1295</v>
      </c>
      <c r="F216" s="0" t="n">
        <v>1</v>
      </c>
      <c r="G216" s="0" t="n">
        <v>1</v>
      </c>
      <c r="H216" s="0" t="n">
        <v>0</v>
      </c>
      <c r="I216" s="0" t="n">
        <v>66.06</v>
      </c>
      <c r="J216" s="0" t="n">
        <v>64.96</v>
      </c>
      <c r="K216" s="0" t="n">
        <v>10.23</v>
      </c>
      <c r="L216" s="0" t="n">
        <v>0.87</v>
      </c>
      <c r="M216" s="0" t="n">
        <v>0.84</v>
      </c>
      <c r="N216" s="0" t="n">
        <v>0.57</v>
      </c>
      <c r="O216" s="0" t="n">
        <v>4.69</v>
      </c>
      <c r="P216" s="0" t="n">
        <v>4.63</v>
      </c>
      <c r="Q216" s="0" t="n">
        <v>4.07</v>
      </c>
      <c r="R216" s="0" t="s">
        <v>1296</v>
      </c>
      <c r="S216" s="0" t="s">
        <v>1297</v>
      </c>
      <c r="T216" s="0" t="s">
        <v>1298</v>
      </c>
      <c r="U216" s="0" t="s">
        <v>36</v>
      </c>
      <c r="V216" s="0" t="n">
        <f aca="false">(I216/100 + O216/5) / 2</f>
        <v>0.7993</v>
      </c>
      <c r="W216" s="0" t="n">
        <f aca="false">(J216/100 + P216/5) / 2</f>
        <v>0.7878</v>
      </c>
      <c r="X216" s="0" t="n">
        <f aca="false">(K216/100 + Q216/5) / 2</f>
        <v>0.45815</v>
      </c>
    </row>
    <row r="217" customFormat="false" ht="12.8" hidden="false" customHeight="false" outlineLevel="0" collapsed="false">
      <c r="A217" s="0" t="s">
        <v>1299</v>
      </c>
      <c r="B217" s="0" t="s">
        <v>1300</v>
      </c>
      <c r="C217" s="0" t="s">
        <v>1301</v>
      </c>
      <c r="D217" s="0" t="s">
        <v>1302</v>
      </c>
      <c r="E217" s="0" t="s">
        <v>1303</v>
      </c>
      <c r="F217" s="0" t="n">
        <v>1</v>
      </c>
      <c r="G217" s="0" t="n">
        <v>1</v>
      </c>
      <c r="H217" s="0" t="n">
        <v>0</v>
      </c>
      <c r="I217" s="0" t="n">
        <v>54.24</v>
      </c>
      <c r="J217" s="0" t="n">
        <v>54.24</v>
      </c>
      <c r="K217" s="0" t="n">
        <v>26.1</v>
      </c>
      <c r="L217" s="0" t="n">
        <v>0.84</v>
      </c>
      <c r="M217" s="0" t="n">
        <v>0.84</v>
      </c>
      <c r="N217" s="0" t="n">
        <v>0.78</v>
      </c>
      <c r="O217" s="0" t="n">
        <v>4.9</v>
      </c>
      <c r="P217" s="0" t="n">
        <v>4.9</v>
      </c>
      <c r="Q217" s="0" t="n">
        <v>4.15</v>
      </c>
      <c r="R217" s="0" t="s">
        <v>1304</v>
      </c>
      <c r="S217" s="0" t="s">
        <v>1305</v>
      </c>
      <c r="T217" s="0" t="s">
        <v>1306</v>
      </c>
      <c r="U217" s="0" t="s">
        <v>36</v>
      </c>
      <c r="V217" s="0" t="n">
        <f aca="false">(I217/100 + O217/5) / 2</f>
        <v>0.7612</v>
      </c>
      <c r="W217" s="0" t="n">
        <f aca="false">(J217/100 + P217/5) / 2</f>
        <v>0.7612</v>
      </c>
      <c r="X217" s="0" t="n">
        <f aca="false">(K217/100 + Q217/5) / 2</f>
        <v>0.5455</v>
      </c>
    </row>
    <row r="218" customFormat="false" ht="12.8" hidden="false" customHeight="false" outlineLevel="0" collapsed="false">
      <c r="A218" s="0" t="s">
        <v>1307</v>
      </c>
      <c r="B218" s="0" t="s">
        <v>1308</v>
      </c>
      <c r="C218" s="0" t="s">
        <v>1308</v>
      </c>
      <c r="D218" s="0" t="s">
        <v>1309</v>
      </c>
      <c r="E218" s="0" t="s">
        <v>1309</v>
      </c>
      <c r="F218" s="0" t="n">
        <v>1</v>
      </c>
      <c r="G218" s="0" t="n">
        <v>1</v>
      </c>
      <c r="H218" s="0" t="n">
        <v>1</v>
      </c>
      <c r="I218" s="0" t="n">
        <v>100</v>
      </c>
      <c r="J218" s="0" t="n">
        <v>100</v>
      </c>
      <c r="K218" s="0" t="n">
        <v>100</v>
      </c>
      <c r="L218" s="0" t="n">
        <v>0.99</v>
      </c>
      <c r="M218" s="0" t="n">
        <v>0.99</v>
      </c>
      <c r="N218" s="0" t="n">
        <v>0.99</v>
      </c>
      <c r="O218" s="0" t="n">
        <v>4.85</v>
      </c>
      <c r="P218" s="0" t="n">
        <v>4.85</v>
      </c>
      <c r="Q218" s="0" t="n">
        <v>4.85</v>
      </c>
      <c r="R218" s="0" t="s">
        <v>26</v>
      </c>
      <c r="S218" s="0" t="s">
        <v>26</v>
      </c>
      <c r="T218" s="0" t="s">
        <v>26</v>
      </c>
      <c r="U218" s="0" t="s">
        <v>54</v>
      </c>
      <c r="V218" s="0" t="n">
        <f aca="false">(I218/100 + O218/5) / 2</f>
        <v>0.985</v>
      </c>
      <c r="W218" s="0" t="n">
        <f aca="false">(J218/100 + P218/5) / 2</f>
        <v>0.985</v>
      </c>
      <c r="X218" s="0" t="n">
        <f aca="false">(K218/100 + Q218/5) / 2</f>
        <v>0.985</v>
      </c>
    </row>
    <row r="219" customFormat="false" ht="12.8" hidden="false" customHeight="false" outlineLevel="0" collapsed="false">
      <c r="A219" s="0" t="s">
        <v>1310</v>
      </c>
      <c r="B219" s="0" t="s">
        <v>1311</v>
      </c>
      <c r="C219" s="0" t="s">
        <v>1312</v>
      </c>
      <c r="D219" s="0" t="s">
        <v>1313</v>
      </c>
      <c r="E219" s="0" t="s">
        <v>1313</v>
      </c>
      <c r="F219" s="0" t="n">
        <v>1</v>
      </c>
      <c r="G219" s="0" t="n">
        <v>1</v>
      </c>
      <c r="H219" s="0" t="n">
        <v>1</v>
      </c>
      <c r="I219" s="0" t="n">
        <v>74.19</v>
      </c>
      <c r="J219" s="0" t="n">
        <v>74.19</v>
      </c>
      <c r="K219" s="0" t="n">
        <v>74.19</v>
      </c>
      <c r="L219" s="0" t="n">
        <v>0.97</v>
      </c>
      <c r="M219" s="0" t="n">
        <v>0.97</v>
      </c>
      <c r="N219" s="0" t="n">
        <v>0.97</v>
      </c>
      <c r="O219" s="0" t="n">
        <v>4.9</v>
      </c>
      <c r="P219" s="0" t="n">
        <v>4.9</v>
      </c>
      <c r="Q219" s="0" t="n">
        <v>4.9</v>
      </c>
      <c r="R219" s="0" t="s">
        <v>26</v>
      </c>
      <c r="S219" s="0" t="s">
        <v>26</v>
      </c>
      <c r="T219" s="0" t="s">
        <v>26</v>
      </c>
      <c r="U219" s="0" t="s">
        <v>54</v>
      </c>
      <c r="V219" s="0" t="n">
        <f aca="false">(I219/100 + O219/5) / 2</f>
        <v>0.86095</v>
      </c>
      <c r="W219" s="0" t="n">
        <f aca="false">(J219/100 + P219/5) / 2</f>
        <v>0.86095</v>
      </c>
      <c r="X219" s="0" t="n">
        <f aca="false">(K219/100 + Q219/5) / 2</f>
        <v>0.86095</v>
      </c>
    </row>
    <row r="220" customFormat="false" ht="12.8" hidden="false" customHeight="false" outlineLevel="0" collapsed="false">
      <c r="A220" s="0" t="s">
        <v>1314</v>
      </c>
      <c r="B220" s="0" t="s">
        <v>1315</v>
      </c>
      <c r="C220" s="0" t="s">
        <v>1315</v>
      </c>
      <c r="D220" s="0" t="s">
        <v>1316</v>
      </c>
      <c r="E220" s="0" t="s">
        <v>1317</v>
      </c>
      <c r="F220" s="0" t="n">
        <v>1</v>
      </c>
      <c r="G220" s="0" t="n">
        <v>0</v>
      </c>
      <c r="H220" s="0" t="n">
        <v>0</v>
      </c>
      <c r="I220" s="0" t="n">
        <v>100</v>
      </c>
      <c r="J220" s="0" t="n">
        <v>78.25</v>
      </c>
      <c r="K220" s="0" t="n">
        <v>22.72</v>
      </c>
      <c r="L220" s="0" t="n">
        <v>0.98</v>
      </c>
      <c r="M220" s="0" t="n">
        <v>0.95</v>
      </c>
      <c r="N220" s="0" t="n">
        <v>0.88</v>
      </c>
      <c r="O220" s="0" t="n">
        <v>4.96</v>
      </c>
      <c r="P220" s="0" t="n">
        <v>4.94</v>
      </c>
      <c r="Q220" s="0" t="n">
        <v>4.43</v>
      </c>
      <c r="R220" s="0" t="s">
        <v>1318</v>
      </c>
      <c r="S220" s="0" t="s">
        <v>1319</v>
      </c>
      <c r="T220" s="0" t="s">
        <v>1320</v>
      </c>
      <c r="U220" s="0" t="s">
        <v>36</v>
      </c>
      <c r="V220" s="0" t="n">
        <f aca="false">(I220/100 + O220/5) / 2</f>
        <v>0.996</v>
      </c>
      <c r="W220" s="0" t="n">
        <f aca="false">(J220/100 + P220/5) / 2</f>
        <v>0.88525</v>
      </c>
      <c r="X220" s="0" t="n">
        <f aca="false">(K220/100 + Q220/5) / 2</f>
        <v>0.5566</v>
      </c>
    </row>
    <row r="221" customFormat="false" ht="12.8" hidden="false" customHeight="false" outlineLevel="0" collapsed="false">
      <c r="A221" s="0" t="s">
        <v>1321</v>
      </c>
      <c r="B221" s="0" t="s">
        <v>1322</v>
      </c>
      <c r="C221" s="0" t="s">
        <v>1323</v>
      </c>
      <c r="D221" s="0" t="s">
        <v>1324</v>
      </c>
      <c r="E221" s="0" t="s">
        <v>1325</v>
      </c>
      <c r="F221" s="0" t="n">
        <v>1</v>
      </c>
      <c r="G221" s="0" t="n">
        <v>1</v>
      </c>
      <c r="H221" s="0" t="n">
        <v>1</v>
      </c>
      <c r="I221" s="0" t="n">
        <v>78.25</v>
      </c>
      <c r="J221" s="0" t="n">
        <v>64.75</v>
      </c>
      <c r="K221" s="0" t="n">
        <v>41.69</v>
      </c>
      <c r="L221" s="0" t="n">
        <v>0.97</v>
      </c>
      <c r="M221" s="0" t="n">
        <v>0.95</v>
      </c>
      <c r="N221" s="0" t="n">
        <v>0.93</v>
      </c>
      <c r="O221" s="0" t="n">
        <v>5.1</v>
      </c>
      <c r="P221" s="0" t="n">
        <v>5.1</v>
      </c>
      <c r="Q221" s="0" t="n">
        <v>4.65</v>
      </c>
      <c r="R221" s="0" t="s">
        <v>921</v>
      </c>
      <c r="S221" s="0" t="s">
        <v>92</v>
      </c>
      <c r="T221" s="0" t="s">
        <v>348</v>
      </c>
      <c r="U221" s="0" t="s">
        <v>28</v>
      </c>
      <c r="V221" s="0" t="n">
        <f aca="false">(I221/100 + O221/5) / 2</f>
        <v>0.90125</v>
      </c>
      <c r="W221" s="0" t="n">
        <f aca="false">(J221/100 + P221/5) / 2</f>
        <v>0.83375</v>
      </c>
      <c r="X221" s="0" t="n">
        <f aca="false">(K221/100 + Q221/5) / 2</f>
        <v>0.67345</v>
      </c>
    </row>
    <row r="222" customFormat="false" ht="12.8" hidden="false" customHeight="false" outlineLevel="0" collapsed="false">
      <c r="A222" s="0" t="s">
        <v>1326</v>
      </c>
      <c r="B222" s="0" t="s">
        <v>1327</v>
      </c>
      <c r="C222" s="0" t="s">
        <v>1327</v>
      </c>
      <c r="D222" s="0" t="s">
        <v>1328</v>
      </c>
      <c r="E222" s="0" t="s">
        <v>1329</v>
      </c>
      <c r="F222" s="0" t="n">
        <v>1</v>
      </c>
      <c r="G222" s="0" t="n">
        <v>1</v>
      </c>
      <c r="H222" s="0" t="n">
        <v>1</v>
      </c>
      <c r="I222" s="0" t="n">
        <v>100</v>
      </c>
      <c r="J222" s="0" t="n">
        <v>100</v>
      </c>
      <c r="K222" s="0" t="n">
        <v>11.38</v>
      </c>
      <c r="L222" s="0" t="n">
        <v>0.98</v>
      </c>
      <c r="M222" s="0" t="n">
        <v>0.98</v>
      </c>
      <c r="N222" s="0" t="n">
        <v>0.95</v>
      </c>
      <c r="O222" s="0" t="n">
        <v>5.26</v>
      </c>
      <c r="P222" s="0" t="n">
        <v>5.26</v>
      </c>
      <c r="Q222" s="0" t="n">
        <v>4.6</v>
      </c>
      <c r="R222" s="0" t="s">
        <v>1330</v>
      </c>
      <c r="S222" s="0" t="s">
        <v>92</v>
      </c>
      <c r="T222" s="0" t="s">
        <v>341</v>
      </c>
      <c r="U222" s="0" t="s">
        <v>28</v>
      </c>
      <c r="V222" s="0" t="n">
        <f aca="false">(I222/100 + O222/5) / 2</f>
        <v>1.026</v>
      </c>
      <c r="W222" s="0" t="n">
        <f aca="false">(J222/100 + P222/5) / 2</f>
        <v>1.026</v>
      </c>
      <c r="X222" s="0" t="n">
        <f aca="false">(K222/100 + Q222/5) / 2</f>
        <v>0.5169</v>
      </c>
    </row>
    <row r="223" customFormat="false" ht="12.8" hidden="false" customHeight="false" outlineLevel="0" collapsed="false">
      <c r="A223" s="0" t="s">
        <v>1331</v>
      </c>
      <c r="B223" s="0" t="s">
        <v>1332</v>
      </c>
      <c r="C223" s="0" t="s">
        <v>1332</v>
      </c>
      <c r="D223" s="0" t="s">
        <v>1333</v>
      </c>
      <c r="E223" s="0" t="s">
        <v>1333</v>
      </c>
      <c r="F223" s="0" t="n">
        <v>1</v>
      </c>
      <c r="G223" s="0" t="n">
        <v>1</v>
      </c>
      <c r="H223" s="0" t="n">
        <v>1</v>
      </c>
      <c r="I223" s="0" t="n">
        <v>100</v>
      </c>
      <c r="J223" s="0" t="n">
        <v>100</v>
      </c>
      <c r="K223" s="0" t="n">
        <v>100</v>
      </c>
      <c r="L223" s="0" t="n">
        <v>0.99</v>
      </c>
      <c r="M223" s="0" t="n">
        <v>0.99</v>
      </c>
      <c r="N223" s="0" t="n">
        <v>0.99</v>
      </c>
      <c r="O223" s="0" t="n">
        <v>4.58</v>
      </c>
      <c r="P223" s="0" t="n">
        <v>4.58</v>
      </c>
      <c r="Q223" s="0" t="n">
        <v>4.58</v>
      </c>
      <c r="R223" s="0" t="s">
        <v>26</v>
      </c>
      <c r="S223" s="0" t="s">
        <v>26</v>
      </c>
      <c r="T223" s="0" t="s">
        <v>26</v>
      </c>
      <c r="U223" s="0" t="s">
        <v>54</v>
      </c>
      <c r="V223" s="0" t="n">
        <f aca="false">(I223/100 + O223/5) / 2</f>
        <v>0.958</v>
      </c>
      <c r="W223" s="0" t="n">
        <f aca="false">(J223/100 + P223/5) / 2</f>
        <v>0.958</v>
      </c>
      <c r="X223" s="0" t="n">
        <f aca="false">(K223/100 + Q223/5) / 2</f>
        <v>0.958</v>
      </c>
    </row>
    <row r="224" customFormat="false" ht="12.8" hidden="false" customHeight="false" outlineLevel="0" collapsed="false">
      <c r="A224" s="0" t="s">
        <v>1334</v>
      </c>
      <c r="B224" s="0" t="s">
        <v>1335</v>
      </c>
      <c r="C224" s="0" t="s">
        <v>1336</v>
      </c>
      <c r="D224" s="0" t="s">
        <v>1337</v>
      </c>
      <c r="E224" s="0" t="s">
        <v>1337</v>
      </c>
      <c r="F224" s="0" t="n">
        <v>1</v>
      </c>
      <c r="G224" s="0" t="n">
        <v>1</v>
      </c>
      <c r="H224" s="0" t="n">
        <v>1</v>
      </c>
      <c r="I224" s="0" t="n">
        <v>58.77</v>
      </c>
      <c r="J224" s="0" t="n">
        <v>58.77</v>
      </c>
      <c r="K224" s="0" t="n">
        <v>58.77</v>
      </c>
      <c r="L224" s="0" t="n">
        <v>0.95</v>
      </c>
      <c r="M224" s="0" t="n">
        <v>0.95</v>
      </c>
      <c r="N224" s="0" t="n">
        <v>0.95</v>
      </c>
      <c r="O224" s="0" t="n">
        <v>4.76</v>
      </c>
      <c r="P224" s="0" t="n">
        <v>4.76</v>
      </c>
      <c r="Q224" s="0" t="n">
        <v>4.76</v>
      </c>
      <c r="R224" s="0" t="s">
        <v>26</v>
      </c>
      <c r="S224" s="0" t="s">
        <v>26</v>
      </c>
      <c r="T224" s="0" t="s">
        <v>26</v>
      </c>
      <c r="U224" s="0" t="s">
        <v>54</v>
      </c>
      <c r="V224" s="0" t="n">
        <f aca="false">(I224/100 + O224/5) / 2</f>
        <v>0.76985</v>
      </c>
      <c r="W224" s="0" t="n">
        <f aca="false">(J224/100 + P224/5) / 2</f>
        <v>0.76985</v>
      </c>
      <c r="X224" s="0" t="n">
        <f aca="false">(K224/100 + Q224/5) / 2</f>
        <v>0.76985</v>
      </c>
    </row>
    <row r="225" customFormat="false" ht="12.8" hidden="false" customHeight="false" outlineLevel="0" collapsed="false">
      <c r="A225" s="0" t="s">
        <v>1338</v>
      </c>
      <c r="B225" s="0" t="s">
        <v>1339</v>
      </c>
      <c r="C225" s="0" t="s">
        <v>1340</v>
      </c>
      <c r="D225" s="0" t="s">
        <v>1341</v>
      </c>
      <c r="E225" s="0" t="s">
        <v>1342</v>
      </c>
      <c r="F225" s="0" t="n">
        <v>1</v>
      </c>
      <c r="G225" s="0" t="n">
        <v>1</v>
      </c>
      <c r="H225" s="0" t="n">
        <v>1</v>
      </c>
      <c r="I225" s="0" t="n">
        <v>37.99</v>
      </c>
      <c r="J225" s="0" t="n">
        <v>37.99</v>
      </c>
      <c r="K225" s="0" t="n">
        <v>37.99</v>
      </c>
      <c r="L225" s="0" t="n">
        <v>0.97</v>
      </c>
      <c r="M225" s="0" t="n">
        <v>0.97</v>
      </c>
      <c r="N225" s="0" t="n">
        <v>0.97</v>
      </c>
      <c r="O225" s="0" t="n">
        <v>4.56</v>
      </c>
      <c r="P225" s="0" t="n">
        <v>4.56</v>
      </c>
      <c r="Q225" s="0" t="n">
        <v>4.45</v>
      </c>
      <c r="R225" s="0" t="s">
        <v>26</v>
      </c>
      <c r="S225" s="0" t="s">
        <v>26</v>
      </c>
      <c r="T225" s="0" t="s">
        <v>92</v>
      </c>
      <c r="U225" s="0" t="s">
        <v>54</v>
      </c>
      <c r="V225" s="0" t="n">
        <f aca="false">(I225/100 + O225/5) / 2</f>
        <v>0.64595</v>
      </c>
      <c r="W225" s="0" t="n">
        <f aca="false">(J225/100 + P225/5) / 2</f>
        <v>0.64595</v>
      </c>
      <c r="X225" s="0" t="n">
        <f aca="false">(K225/100 + Q225/5) / 2</f>
        <v>0.63495</v>
      </c>
    </row>
    <row r="226" customFormat="false" ht="12.8" hidden="false" customHeight="false" outlineLevel="0" collapsed="false">
      <c r="A226" s="0" t="s">
        <v>1343</v>
      </c>
      <c r="B226" s="0" t="s">
        <v>1344</v>
      </c>
      <c r="C226" s="0" t="s">
        <v>1345</v>
      </c>
      <c r="D226" s="0" t="s">
        <v>1346</v>
      </c>
      <c r="E226" s="0" t="s">
        <v>1347</v>
      </c>
      <c r="F226" s="0" t="n">
        <v>1</v>
      </c>
      <c r="G226" s="0" t="n">
        <v>1</v>
      </c>
      <c r="H226" s="0" t="n">
        <v>1</v>
      </c>
      <c r="I226" s="0" t="n">
        <v>67.17</v>
      </c>
      <c r="J226" s="0" t="n">
        <v>67.17</v>
      </c>
      <c r="K226" s="0" t="n">
        <v>21.72</v>
      </c>
      <c r="L226" s="0" t="n">
        <v>0.96</v>
      </c>
      <c r="M226" s="0" t="n">
        <v>0.96</v>
      </c>
      <c r="N226" s="0" t="n">
        <v>0.94</v>
      </c>
      <c r="O226" s="0" t="n">
        <v>5.09</v>
      </c>
      <c r="P226" s="0" t="n">
        <v>5.09</v>
      </c>
      <c r="Q226" s="0" t="n">
        <v>5.09</v>
      </c>
      <c r="R226" s="0" t="s">
        <v>1348</v>
      </c>
      <c r="S226" s="0" t="s">
        <v>26</v>
      </c>
      <c r="T226" s="0" t="s">
        <v>26</v>
      </c>
      <c r="U226" s="0" t="s">
        <v>50</v>
      </c>
      <c r="V226" s="0" t="n">
        <f aca="false">(I226/100 + O226/5) / 2</f>
        <v>0.84485</v>
      </c>
      <c r="W226" s="0" t="n">
        <f aca="false">(J226/100 + P226/5) / 2</f>
        <v>0.84485</v>
      </c>
      <c r="X226" s="0" t="n">
        <f aca="false">(K226/100 + Q226/5) / 2</f>
        <v>0.6176</v>
      </c>
    </row>
    <row r="227" customFormat="false" ht="12.8" hidden="false" customHeight="false" outlineLevel="0" collapsed="false">
      <c r="A227" s="0" t="s">
        <v>1349</v>
      </c>
      <c r="B227" s="0" t="s">
        <v>1350</v>
      </c>
      <c r="C227" s="0" t="s">
        <v>1351</v>
      </c>
      <c r="D227" s="0" t="s">
        <v>1352</v>
      </c>
      <c r="E227" s="0" t="s">
        <v>1353</v>
      </c>
      <c r="F227" s="0" t="n">
        <v>1</v>
      </c>
      <c r="G227" s="0" t="n">
        <v>1</v>
      </c>
      <c r="H227" s="0" t="n">
        <v>1</v>
      </c>
      <c r="I227" s="0" t="n">
        <v>59.69</v>
      </c>
      <c r="J227" s="0" t="n">
        <v>59.69</v>
      </c>
      <c r="K227" s="0" t="n">
        <v>38.16</v>
      </c>
      <c r="L227" s="0" t="n">
        <v>0.96</v>
      </c>
      <c r="M227" s="0" t="n">
        <v>0.96</v>
      </c>
      <c r="N227" s="0" t="n">
        <v>0.94</v>
      </c>
      <c r="O227" s="0" t="n">
        <v>4.93</v>
      </c>
      <c r="P227" s="0" t="n">
        <v>4.93</v>
      </c>
      <c r="Q227" s="0" t="n">
        <v>4.81</v>
      </c>
      <c r="R227" s="0" t="s">
        <v>1354</v>
      </c>
      <c r="S227" s="0" t="s">
        <v>26</v>
      </c>
      <c r="T227" s="0" t="s">
        <v>92</v>
      </c>
      <c r="U227" s="0" t="s">
        <v>50</v>
      </c>
      <c r="V227" s="0" t="n">
        <f aca="false">(I227/100 + O227/5) / 2</f>
        <v>0.79145</v>
      </c>
      <c r="W227" s="0" t="n">
        <f aca="false">(J227/100 + P227/5) / 2</f>
        <v>0.79145</v>
      </c>
      <c r="X227" s="0" t="n">
        <f aca="false">(K227/100 + Q227/5) / 2</f>
        <v>0.6718</v>
      </c>
    </row>
    <row r="228" customFormat="false" ht="12.8" hidden="false" customHeight="false" outlineLevel="0" collapsed="false">
      <c r="A228" s="0" t="s">
        <v>1355</v>
      </c>
      <c r="B228" s="0" t="s">
        <v>1356</v>
      </c>
      <c r="C228" s="0" t="s">
        <v>1356</v>
      </c>
      <c r="D228" s="0" t="s">
        <v>1357</v>
      </c>
      <c r="E228" s="0" t="s">
        <v>1357</v>
      </c>
      <c r="F228" s="0" t="n">
        <v>1</v>
      </c>
      <c r="G228" s="0" t="n">
        <v>1</v>
      </c>
      <c r="H228" s="0" t="n">
        <v>1</v>
      </c>
      <c r="I228" s="0" t="n">
        <v>100</v>
      </c>
      <c r="J228" s="0" t="n">
        <v>100</v>
      </c>
      <c r="K228" s="0" t="n">
        <v>100</v>
      </c>
      <c r="L228" s="0" t="n">
        <v>0.98</v>
      </c>
      <c r="M228" s="0" t="n">
        <v>0.98</v>
      </c>
      <c r="N228" s="0" t="n">
        <v>0.98</v>
      </c>
      <c r="O228" s="0" t="n">
        <v>4.74</v>
      </c>
      <c r="P228" s="0" t="n">
        <v>4.74</v>
      </c>
      <c r="Q228" s="0" t="n">
        <v>4.74</v>
      </c>
      <c r="R228" s="0" t="s">
        <v>26</v>
      </c>
      <c r="S228" s="0" t="s">
        <v>26</v>
      </c>
      <c r="T228" s="0" t="s">
        <v>26</v>
      </c>
      <c r="U228" s="0" t="s">
        <v>54</v>
      </c>
      <c r="V228" s="0" t="n">
        <f aca="false">(I228/100 + O228/5) / 2</f>
        <v>0.974</v>
      </c>
      <c r="W228" s="0" t="n">
        <f aca="false">(J228/100 + P228/5) / 2</f>
        <v>0.974</v>
      </c>
      <c r="X228" s="0" t="n">
        <f aca="false">(K228/100 + Q228/5) / 2</f>
        <v>0.974</v>
      </c>
    </row>
    <row r="229" customFormat="false" ht="12.8" hidden="false" customHeight="false" outlineLevel="0" collapsed="false">
      <c r="A229" s="0" t="s">
        <v>1358</v>
      </c>
      <c r="B229" s="0" t="s">
        <v>1359</v>
      </c>
      <c r="C229" s="0" t="s">
        <v>1360</v>
      </c>
      <c r="D229" s="0" t="s">
        <v>1361</v>
      </c>
      <c r="E229" s="0" t="s">
        <v>1362</v>
      </c>
      <c r="F229" s="0" t="n">
        <v>1</v>
      </c>
      <c r="G229" s="0" t="n">
        <v>0</v>
      </c>
      <c r="H229" s="0" t="n">
        <v>1</v>
      </c>
      <c r="I229" s="0" t="n">
        <v>20.55</v>
      </c>
      <c r="J229" s="0" t="n">
        <v>28.64</v>
      </c>
      <c r="K229" s="0" t="n">
        <v>20.55</v>
      </c>
      <c r="L229" s="0" t="n">
        <v>0.92</v>
      </c>
      <c r="M229" s="0" t="n">
        <v>0.85</v>
      </c>
      <c r="N229" s="0" t="n">
        <v>0.92</v>
      </c>
      <c r="O229" s="0" t="n">
        <v>4.67</v>
      </c>
      <c r="P229" s="0" t="n">
        <v>4.68</v>
      </c>
      <c r="Q229" s="0" t="n">
        <v>4.67</v>
      </c>
      <c r="R229" s="0" t="s">
        <v>1363</v>
      </c>
      <c r="S229" s="0" t="s">
        <v>1364</v>
      </c>
      <c r="T229" s="0" t="s">
        <v>1365</v>
      </c>
      <c r="U229" s="0" t="s">
        <v>28</v>
      </c>
      <c r="V229" s="0" t="n">
        <f aca="false">(I229/100 + O229/5) / 2</f>
        <v>0.56975</v>
      </c>
      <c r="W229" s="0" t="n">
        <f aca="false">(J229/100 + P229/5) / 2</f>
        <v>0.6112</v>
      </c>
      <c r="X229" s="0" t="n">
        <f aca="false">(K229/100 + Q229/5) / 2</f>
        <v>0.56975</v>
      </c>
    </row>
    <row r="230" customFormat="false" ht="12.8" hidden="false" customHeight="false" outlineLevel="0" collapsed="false">
      <c r="A230" s="0" t="s">
        <v>1366</v>
      </c>
      <c r="B230" s="0" t="s">
        <v>1367</v>
      </c>
      <c r="C230" s="0" t="s">
        <v>1368</v>
      </c>
      <c r="D230" s="0" t="s">
        <v>1369</v>
      </c>
      <c r="E230" s="0" t="s">
        <v>1370</v>
      </c>
      <c r="F230" s="0" t="n">
        <v>1</v>
      </c>
      <c r="G230" s="0" t="n">
        <v>1</v>
      </c>
      <c r="H230" s="0" t="n">
        <v>1</v>
      </c>
      <c r="I230" s="0" t="n">
        <v>67.17</v>
      </c>
      <c r="J230" s="0" t="n">
        <v>100</v>
      </c>
      <c r="K230" s="0" t="n">
        <v>21.07</v>
      </c>
      <c r="L230" s="0" t="n">
        <v>0.96</v>
      </c>
      <c r="M230" s="0" t="n">
        <v>0.98</v>
      </c>
      <c r="N230" s="0" t="n">
        <v>0.94</v>
      </c>
      <c r="O230" s="0" t="n">
        <v>4.89</v>
      </c>
      <c r="P230" s="0" t="n">
        <v>4.93</v>
      </c>
      <c r="Q230" s="0" t="n">
        <v>4.88</v>
      </c>
      <c r="R230" s="0" t="s">
        <v>1371</v>
      </c>
      <c r="S230" s="0" t="s">
        <v>92</v>
      </c>
      <c r="T230" s="0" t="s">
        <v>26</v>
      </c>
      <c r="U230" s="0" t="s">
        <v>93</v>
      </c>
      <c r="V230" s="0" t="n">
        <f aca="false">(I230/100 + O230/5) / 2</f>
        <v>0.82485</v>
      </c>
      <c r="W230" s="0" t="n">
        <f aca="false">(J230/100 + P230/5) / 2</f>
        <v>0.993</v>
      </c>
      <c r="X230" s="0" t="n">
        <f aca="false">(K230/100 + Q230/5) / 2</f>
        <v>0.59335</v>
      </c>
    </row>
    <row r="231" customFormat="false" ht="12.8" hidden="false" customHeight="false" outlineLevel="0" collapsed="false">
      <c r="A231" s="0" t="s">
        <v>1372</v>
      </c>
      <c r="B231" s="0" t="s">
        <v>1373</v>
      </c>
      <c r="C231" s="0" t="s">
        <v>1374</v>
      </c>
      <c r="D231" s="0" t="s">
        <v>1375</v>
      </c>
      <c r="E231" s="0" t="s">
        <v>1375</v>
      </c>
      <c r="F231" s="0" t="n">
        <v>1</v>
      </c>
      <c r="G231" s="0" t="n">
        <v>1</v>
      </c>
      <c r="H231" s="0" t="n">
        <v>1</v>
      </c>
      <c r="I231" s="0" t="n">
        <v>67.71</v>
      </c>
      <c r="J231" s="0" t="n">
        <v>67.71</v>
      </c>
      <c r="K231" s="0" t="n">
        <v>67.71</v>
      </c>
      <c r="L231" s="0" t="n">
        <v>0.95</v>
      </c>
      <c r="M231" s="0" t="n">
        <v>0.95</v>
      </c>
      <c r="N231" s="0" t="n">
        <v>0.95</v>
      </c>
      <c r="O231" s="0" t="n">
        <v>4.73</v>
      </c>
      <c r="P231" s="0" t="n">
        <v>4.73</v>
      </c>
      <c r="Q231" s="0" t="n">
        <v>4.73</v>
      </c>
      <c r="R231" s="0" t="s">
        <v>26</v>
      </c>
      <c r="S231" s="0" t="s">
        <v>26</v>
      </c>
      <c r="T231" s="0" t="s">
        <v>26</v>
      </c>
      <c r="U231" s="0" t="s">
        <v>54</v>
      </c>
      <c r="V231" s="0" t="n">
        <f aca="false">(I231/100 + O231/5) / 2</f>
        <v>0.81155</v>
      </c>
      <c r="W231" s="0" t="n">
        <f aca="false">(J231/100 + P231/5) / 2</f>
        <v>0.81155</v>
      </c>
      <c r="X231" s="0" t="n">
        <f aca="false">(K231/100 + Q231/5) / 2</f>
        <v>0.81155</v>
      </c>
    </row>
    <row r="232" customFormat="false" ht="12.8" hidden="false" customHeight="false" outlineLevel="0" collapsed="false">
      <c r="A232" s="0" t="s">
        <v>1376</v>
      </c>
      <c r="B232" s="0" t="s">
        <v>1377</v>
      </c>
      <c r="C232" s="0" t="s">
        <v>1378</v>
      </c>
      <c r="D232" s="0" t="s">
        <v>1379</v>
      </c>
      <c r="E232" s="0" t="s">
        <v>1379</v>
      </c>
      <c r="F232" s="0" t="n">
        <v>1</v>
      </c>
      <c r="G232" s="0" t="n">
        <v>1</v>
      </c>
      <c r="H232" s="0" t="n">
        <v>1</v>
      </c>
      <c r="I232" s="0" t="n">
        <v>74.47</v>
      </c>
      <c r="J232" s="0" t="n">
        <v>74.47</v>
      </c>
      <c r="K232" s="0" t="n">
        <v>74.47</v>
      </c>
      <c r="L232" s="0" t="n">
        <v>0.92</v>
      </c>
      <c r="M232" s="0" t="n">
        <v>0.92</v>
      </c>
      <c r="N232" s="0" t="n">
        <v>0.92</v>
      </c>
      <c r="O232" s="0" t="n">
        <v>4.97</v>
      </c>
      <c r="P232" s="0" t="n">
        <v>4.97</v>
      </c>
      <c r="Q232" s="0" t="n">
        <v>4.97</v>
      </c>
      <c r="R232" s="0" t="s">
        <v>26</v>
      </c>
      <c r="S232" s="0" t="s">
        <v>26</v>
      </c>
      <c r="T232" s="0" t="s">
        <v>26</v>
      </c>
      <c r="U232" s="0" t="s">
        <v>54</v>
      </c>
      <c r="V232" s="0" t="n">
        <f aca="false">(I232/100 + O232/5) / 2</f>
        <v>0.86935</v>
      </c>
      <c r="W232" s="0" t="n">
        <f aca="false">(J232/100 + P232/5) / 2</f>
        <v>0.86935</v>
      </c>
      <c r="X232" s="0" t="n">
        <f aca="false">(K232/100 + Q232/5) / 2</f>
        <v>0.86935</v>
      </c>
    </row>
    <row r="233" customFormat="false" ht="12.8" hidden="false" customHeight="false" outlineLevel="0" collapsed="false">
      <c r="A233" s="0" t="s">
        <v>1380</v>
      </c>
      <c r="B233" s="0" t="s">
        <v>1381</v>
      </c>
      <c r="C233" s="0" t="s">
        <v>1382</v>
      </c>
      <c r="D233" s="0" t="s">
        <v>1383</v>
      </c>
      <c r="E233" s="0" t="s">
        <v>1384</v>
      </c>
      <c r="F233" s="0" t="n">
        <v>0</v>
      </c>
      <c r="G233" s="0" t="n">
        <v>0</v>
      </c>
      <c r="H233" s="0" t="n">
        <v>1</v>
      </c>
      <c r="I233" s="0" t="n">
        <v>59.46</v>
      </c>
      <c r="J233" s="0" t="n">
        <v>70.71</v>
      </c>
      <c r="K233" s="0" t="n">
        <v>100</v>
      </c>
      <c r="L233" s="0" t="n">
        <v>0.94</v>
      </c>
      <c r="M233" s="0" t="n">
        <v>0.96</v>
      </c>
      <c r="N233" s="0" t="n">
        <v>0.98</v>
      </c>
      <c r="O233" s="0" t="n">
        <v>4.24</v>
      </c>
      <c r="P233" s="0" t="n">
        <v>4.65</v>
      </c>
      <c r="Q233" s="0" t="n">
        <v>4.57</v>
      </c>
      <c r="R233" s="0" t="s">
        <v>1385</v>
      </c>
      <c r="S233" s="0" t="s">
        <v>1386</v>
      </c>
      <c r="T233" s="0" t="s">
        <v>1387</v>
      </c>
      <c r="U233" s="0" t="s">
        <v>36</v>
      </c>
      <c r="V233" s="0" t="n">
        <f aca="false">(I233/100 + O233/5) / 2</f>
        <v>0.7213</v>
      </c>
      <c r="W233" s="0" t="n">
        <f aca="false">(J233/100 + P233/5) / 2</f>
        <v>0.81855</v>
      </c>
      <c r="X233" s="0" t="n">
        <f aca="false">(K233/100 + Q233/5) / 2</f>
        <v>0.957</v>
      </c>
    </row>
    <row r="234" customFormat="false" ht="12.8" hidden="false" customHeight="false" outlineLevel="0" collapsed="false">
      <c r="A234" s="0" t="s">
        <v>1388</v>
      </c>
      <c r="B234" s="0" t="s">
        <v>1389</v>
      </c>
      <c r="C234" s="0" t="s">
        <v>1389</v>
      </c>
      <c r="D234" s="0" t="s">
        <v>1390</v>
      </c>
      <c r="E234" s="0" t="s">
        <v>1391</v>
      </c>
      <c r="F234" s="0" t="n">
        <v>1</v>
      </c>
      <c r="G234" s="0" t="n">
        <v>1</v>
      </c>
      <c r="H234" s="0" t="n">
        <v>1</v>
      </c>
      <c r="I234" s="0" t="n">
        <v>100</v>
      </c>
      <c r="J234" s="0" t="n">
        <v>100</v>
      </c>
      <c r="K234" s="0" t="n">
        <v>34.79</v>
      </c>
      <c r="L234" s="0" t="n">
        <v>0.98</v>
      </c>
      <c r="M234" s="0" t="n">
        <v>0.98</v>
      </c>
      <c r="N234" s="0" t="n">
        <v>0.94</v>
      </c>
      <c r="O234" s="0" t="n">
        <v>4.89</v>
      </c>
      <c r="P234" s="0" t="n">
        <v>4.89</v>
      </c>
      <c r="Q234" s="0" t="n">
        <v>4.76</v>
      </c>
      <c r="R234" s="0" t="s">
        <v>1392</v>
      </c>
      <c r="S234" s="0" t="s">
        <v>27</v>
      </c>
      <c r="T234" s="0" t="s">
        <v>92</v>
      </c>
      <c r="U234" s="0" t="s">
        <v>93</v>
      </c>
      <c r="V234" s="0" t="n">
        <f aca="false">(I234/100 + O234/5) / 2</f>
        <v>0.989</v>
      </c>
      <c r="W234" s="0" t="n">
        <f aca="false">(J234/100 + P234/5) / 2</f>
        <v>0.989</v>
      </c>
      <c r="X234" s="0" t="n">
        <f aca="false">(K234/100 + Q234/5) / 2</f>
        <v>0.64995</v>
      </c>
    </row>
    <row r="235" customFormat="false" ht="12.8" hidden="false" customHeight="false" outlineLevel="0" collapsed="false">
      <c r="A235" s="0" t="s">
        <v>1393</v>
      </c>
      <c r="B235" s="0" t="s">
        <v>1394</v>
      </c>
      <c r="C235" s="0" t="s">
        <v>1394</v>
      </c>
      <c r="D235" s="0" t="s">
        <v>1395</v>
      </c>
      <c r="E235" s="0" t="s">
        <v>1395</v>
      </c>
      <c r="F235" s="0" t="n">
        <v>1</v>
      </c>
      <c r="G235" s="0" t="n">
        <v>1</v>
      </c>
      <c r="H235" s="0" t="n">
        <v>1</v>
      </c>
      <c r="I235" s="0" t="n">
        <v>100</v>
      </c>
      <c r="J235" s="0" t="n">
        <v>100</v>
      </c>
      <c r="K235" s="0" t="n">
        <v>100</v>
      </c>
      <c r="L235" s="0" t="n">
        <v>0.98</v>
      </c>
      <c r="M235" s="0" t="n">
        <v>0.98</v>
      </c>
      <c r="N235" s="0" t="n">
        <v>0.98</v>
      </c>
      <c r="O235" s="0" t="n">
        <v>4.59</v>
      </c>
      <c r="P235" s="0" t="n">
        <v>4.59</v>
      </c>
      <c r="Q235" s="0" t="n">
        <v>4.59</v>
      </c>
      <c r="R235" s="0" t="s">
        <v>26</v>
      </c>
      <c r="S235" s="0" t="s">
        <v>26</v>
      </c>
      <c r="T235" s="0" t="s">
        <v>26</v>
      </c>
      <c r="U235" s="0" t="s">
        <v>54</v>
      </c>
      <c r="V235" s="0" t="n">
        <f aca="false">(I235/100 + O235/5) / 2</f>
        <v>0.959</v>
      </c>
      <c r="W235" s="0" t="n">
        <f aca="false">(J235/100 + P235/5) / 2</f>
        <v>0.959</v>
      </c>
      <c r="X235" s="0" t="n">
        <f aca="false">(K235/100 + Q235/5) / 2</f>
        <v>0.959</v>
      </c>
    </row>
    <row r="236" customFormat="false" ht="12.8" hidden="false" customHeight="false" outlineLevel="0" collapsed="false">
      <c r="A236" s="0" t="s">
        <v>1396</v>
      </c>
      <c r="B236" s="0" t="s">
        <v>1397</v>
      </c>
      <c r="C236" s="0" t="s">
        <v>1398</v>
      </c>
      <c r="D236" s="0" t="s">
        <v>1399</v>
      </c>
      <c r="E236" s="0" t="s">
        <v>1399</v>
      </c>
      <c r="F236" s="0" t="n">
        <v>1</v>
      </c>
      <c r="G236" s="0" t="n">
        <v>1</v>
      </c>
      <c r="H236" s="0" t="n">
        <v>1</v>
      </c>
      <c r="I236" s="0" t="n">
        <v>48.89</v>
      </c>
      <c r="J236" s="0" t="n">
        <v>48.89</v>
      </c>
      <c r="K236" s="0" t="n">
        <v>48.89</v>
      </c>
      <c r="L236" s="0" t="n">
        <v>0.95</v>
      </c>
      <c r="M236" s="0" t="n">
        <v>0.95</v>
      </c>
      <c r="N236" s="0" t="n">
        <v>0.95</v>
      </c>
      <c r="O236" s="0" t="n">
        <v>4.57</v>
      </c>
      <c r="P236" s="0" t="n">
        <v>4.57</v>
      </c>
      <c r="Q236" s="0" t="n">
        <v>4.57</v>
      </c>
      <c r="R236" s="0" t="s">
        <v>26</v>
      </c>
      <c r="S236" s="0" t="s">
        <v>26</v>
      </c>
      <c r="T236" s="0" t="s">
        <v>26</v>
      </c>
      <c r="U236" s="0" t="s">
        <v>54</v>
      </c>
      <c r="V236" s="0" t="n">
        <f aca="false">(I236/100 + O236/5) / 2</f>
        <v>0.70145</v>
      </c>
      <c r="W236" s="0" t="n">
        <f aca="false">(J236/100 + P236/5) / 2</f>
        <v>0.70145</v>
      </c>
      <c r="X236" s="0" t="n">
        <f aca="false">(K236/100 + Q236/5) / 2</f>
        <v>0.70145</v>
      </c>
    </row>
    <row r="237" customFormat="false" ht="12.8" hidden="false" customHeight="false" outlineLevel="0" collapsed="false">
      <c r="A237" s="0" t="s">
        <v>1400</v>
      </c>
      <c r="B237" s="0" t="s">
        <v>1401</v>
      </c>
      <c r="C237" s="0" t="s">
        <v>1402</v>
      </c>
      <c r="D237" s="0" t="s">
        <v>1403</v>
      </c>
      <c r="E237" s="0" t="s">
        <v>1404</v>
      </c>
      <c r="F237" s="0" t="n">
        <v>1</v>
      </c>
      <c r="G237" s="0" t="n">
        <v>1</v>
      </c>
      <c r="H237" s="0" t="n">
        <v>1</v>
      </c>
      <c r="I237" s="0" t="n">
        <v>67.03</v>
      </c>
      <c r="J237" s="0" t="n">
        <v>26.44</v>
      </c>
      <c r="K237" s="0" t="n">
        <v>67.03</v>
      </c>
      <c r="L237" s="0" t="n">
        <v>0.95</v>
      </c>
      <c r="M237" s="0" t="n">
        <v>0.94</v>
      </c>
      <c r="N237" s="0" t="n">
        <v>0.95</v>
      </c>
      <c r="O237" s="0" t="n">
        <v>4.97</v>
      </c>
      <c r="P237" s="0" t="n">
        <v>4.92</v>
      </c>
      <c r="Q237" s="0" t="n">
        <v>4.97</v>
      </c>
      <c r="R237" s="0" t="s">
        <v>1405</v>
      </c>
      <c r="S237" s="0" t="s">
        <v>26</v>
      </c>
      <c r="T237" s="0" t="s">
        <v>26</v>
      </c>
      <c r="U237" s="0" t="s">
        <v>50</v>
      </c>
      <c r="V237" s="0" t="n">
        <f aca="false">(I237/100 + O237/5) / 2</f>
        <v>0.83215</v>
      </c>
      <c r="W237" s="0" t="n">
        <f aca="false">(J237/100 + P237/5) / 2</f>
        <v>0.6242</v>
      </c>
      <c r="X237" s="0" t="n">
        <f aca="false">(K237/100 + Q237/5) / 2</f>
        <v>0.83215</v>
      </c>
    </row>
    <row r="238" customFormat="false" ht="12.8" hidden="false" customHeight="false" outlineLevel="0" collapsed="false">
      <c r="A238" s="0" t="s">
        <v>1406</v>
      </c>
      <c r="B238" s="0" t="s">
        <v>1407</v>
      </c>
      <c r="C238" s="0" t="s">
        <v>1408</v>
      </c>
      <c r="D238" s="0" t="s">
        <v>1409</v>
      </c>
      <c r="E238" s="0" t="s">
        <v>1410</v>
      </c>
      <c r="F238" s="0" t="n">
        <v>1</v>
      </c>
      <c r="G238" s="0" t="n">
        <v>0</v>
      </c>
      <c r="H238" s="0" t="n">
        <v>0</v>
      </c>
      <c r="I238" s="0" t="n">
        <v>73.49</v>
      </c>
      <c r="J238" s="0" t="n">
        <v>54.91</v>
      </c>
      <c r="K238" s="0" t="n">
        <v>9.67</v>
      </c>
      <c r="L238" s="0" t="n">
        <v>0.97</v>
      </c>
      <c r="M238" s="0" t="n">
        <v>0.86</v>
      </c>
      <c r="N238" s="0" t="n">
        <v>0.91</v>
      </c>
      <c r="O238" s="0" t="n">
        <v>4.6</v>
      </c>
      <c r="P238" s="0" t="n">
        <v>4.17</v>
      </c>
      <c r="Q238" s="0" t="n">
        <v>4.5</v>
      </c>
      <c r="R238" s="0" t="s">
        <v>853</v>
      </c>
      <c r="S238" s="0" t="s">
        <v>1411</v>
      </c>
      <c r="T238" s="0" t="s">
        <v>1412</v>
      </c>
      <c r="U238" s="0" t="s">
        <v>36</v>
      </c>
      <c r="V238" s="0" t="n">
        <f aca="false">(I238/100 + O238/5) / 2</f>
        <v>0.82745</v>
      </c>
      <c r="W238" s="0" t="n">
        <f aca="false">(J238/100 + P238/5) / 2</f>
        <v>0.69155</v>
      </c>
      <c r="X238" s="0" t="n">
        <f aca="false">(K238/100 + Q238/5) / 2</f>
        <v>0.49835</v>
      </c>
    </row>
    <row r="239" customFormat="false" ht="12.8" hidden="false" customHeight="false" outlineLevel="0" collapsed="false">
      <c r="A239" s="0" t="s">
        <v>1413</v>
      </c>
      <c r="B239" s="0" t="s">
        <v>1414</v>
      </c>
      <c r="C239" s="0" t="s">
        <v>1415</v>
      </c>
      <c r="D239" s="0" t="s">
        <v>1416</v>
      </c>
      <c r="E239" s="0" t="s">
        <v>1417</v>
      </c>
      <c r="F239" s="0" t="n">
        <v>1</v>
      </c>
      <c r="G239" s="0" t="n">
        <v>1</v>
      </c>
      <c r="H239" s="0" t="n">
        <v>1</v>
      </c>
      <c r="I239" s="0" t="n">
        <v>35.49</v>
      </c>
      <c r="J239" s="0" t="n">
        <v>43.17</v>
      </c>
      <c r="K239" s="0" t="n">
        <v>22.32</v>
      </c>
      <c r="L239" s="0" t="n">
        <v>0.92</v>
      </c>
      <c r="M239" s="0" t="n">
        <v>0.92</v>
      </c>
      <c r="N239" s="0" t="n">
        <v>0.91</v>
      </c>
      <c r="O239" s="0" t="n">
        <v>4.99</v>
      </c>
      <c r="P239" s="0" t="n">
        <v>4.98</v>
      </c>
      <c r="Q239" s="0" t="n">
        <v>4.38</v>
      </c>
      <c r="R239" s="0" t="s">
        <v>1418</v>
      </c>
      <c r="S239" s="0" t="s">
        <v>26</v>
      </c>
      <c r="T239" s="0" t="s">
        <v>1059</v>
      </c>
      <c r="U239" s="0" t="s">
        <v>28</v>
      </c>
      <c r="V239" s="0" t="n">
        <f aca="false">(I239/100 + O239/5) / 2</f>
        <v>0.67645</v>
      </c>
      <c r="W239" s="0" t="n">
        <f aca="false">(J239/100 + P239/5) / 2</f>
        <v>0.71385</v>
      </c>
      <c r="X239" s="0" t="n">
        <f aca="false">(K239/100 + Q239/5) / 2</f>
        <v>0.5496</v>
      </c>
    </row>
    <row r="240" customFormat="false" ht="12.8" hidden="false" customHeight="false" outlineLevel="0" collapsed="false">
      <c r="A240" s="0" t="s">
        <v>1419</v>
      </c>
      <c r="B240" s="0" t="s">
        <v>1420</v>
      </c>
      <c r="C240" s="0" t="s">
        <v>1421</v>
      </c>
      <c r="D240" s="0" t="s">
        <v>1422</v>
      </c>
      <c r="E240" s="0" t="s">
        <v>1423</v>
      </c>
      <c r="F240" s="0" t="n">
        <v>1</v>
      </c>
      <c r="G240" s="0" t="n">
        <v>1</v>
      </c>
      <c r="H240" s="0" t="n">
        <v>1</v>
      </c>
      <c r="I240" s="0" t="n">
        <v>50.81</v>
      </c>
      <c r="J240" s="0" t="n">
        <v>50.81</v>
      </c>
      <c r="K240" s="0" t="n">
        <v>50.81</v>
      </c>
      <c r="L240" s="0" t="n">
        <v>0.91</v>
      </c>
      <c r="M240" s="0" t="n">
        <v>0.91</v>
      </c>
      <c r="N240" s="0" t="n">
        <v>0.89</v>
      </c>
      <c r="O240" s="0" t="n">
        <v>4.31</v>
      </c>
      <c r="P240" s="0" t="n">
        <v>4.31</v>
      </c>
      <c r="Q240" s="0" t="n">
        <v>4.21</v>
      </c>
      <c r="R240" s="0" t="s">
        <v>26</v>
      </c>
      <c r="S240" s="0" t="s">
        <v>92</v>
      </c>
      <c r="T240" s="0" t="s">
        <v>92</v>
      </c>
      <c r="U240" s="0" t="s">
        <v>54</v>
      </c>
      <c r="V240" s="0" t="n">
        <f aca="false">(I240/100 + O240/5) / 2</f>
        <v>0.68505</v>
      </c>
      <c r="W240" s="0" t="n">
        <f aca="false">(J240/100 + P240/5) / 2</f>
        <v>0.68505</v>
      </c>
      <c r="X240" s="0" t="n">
        <f aca="false">(K240/100 + Q240/5) / 2</f>
        <v>0.67505</v>
      </c>
    </row>
    <row r="241" customFormat="false" ht="12.8" hidden="false" customHeight="false" outlineLevel="0" collapsed="false">
      <c r="A241" s="0" t="s">
        <v>1424</v>
      </c>
      <c r="B241" s="0" t="s">
        <v>1425</v>
      </c>
      <c r="C241" s="0" t="s">
        <v>1425</v>
      </c>
      <c r="D241" s="0" t="s">
        <v>1426</v>
      </c>
      <c r="E241" s="0" t="s">
        <v>1427</v>
      </c>
      <c r="F241" s="0" t="n">
        <v>1</v>
      </c>
      <c r="G241" s="0" t="n">
        <v>0</v>
      </c>
      <c r="H241" s="0" t="n">
        <v>1</v>
      </c>
      <c r="I241" s="0" t="n">
        <v>100</v>
      </c>
      <c r="J241" s="0" t="n">
        <v>61.05</v>
      </c>
      <c r="K241" s="0" t="n">
        <v>14.26</v>
      </c>
      <c r="L241" s="0" t="n">
        <v>0.97</v>
      </c>
      <c r="M241" s="0" t="n">
        <v>0.83</v>
      </c>
      <c r="N241" s="0" t="n">
        <v>0.74</v>
      </c>
      <c r="O241" s="0" t="n">
        <v>4.8</v>
      </c>
      <c r="P241" s="0" t="n">
        <v>4.28</v>
      </c>
      <c r="Q241" s="0" t="n">
        <v>3.09</v>
      </c>
      <c r="R241" s="0" t="s">
        <v>1428</v>
      </c>
      <c r="S241" s="0" t="s">
        <v>150</v>
      </c>
      <c r="T241" s="0" t="s">
        <v>1429</v>
      </c>
      <c r="U241" s="0" t="s">
        <v>28</v>
      </c>
      <c r="V241" s="0" t="n">
        <f aca="false">(I241/100 + O241/5) / 2</f>
        <v>0.98</v>
      </c>
      <c r="W241" s="0" t="n">
        <f aca="false">(J241/100 + P241/5) / 2</f>
        <v>0.73325</v>
      </c>
      <c r="X241" s="0" t="n">
        <f aca="false">(K241/100 + Q241/5) / 2</f>
        <v>0.3803</v>
      </c>
    </row>
    <row r="242" customFormat="false" ht="12.8" hidden="false" customHeight="false" outlineLevel="0" collapsed="false">
      <c r="A242" s="0" t="s">
        <v>1430</v>
      </c>
      <c r="B242" s="0" t="s">
        <v>1431</v>
      </c>
      <c r="C242" s="0" t="s">
        <v>1431</v>
      </c>
      <c r="D242" s="0" t="s">
        <v>1432</v>
      </c>
      <c r="E242" s="0" t="s">
        <v>1433</v>
      </c>
      <c r="F242" s="0" t="n">
        <v>1</v>
      </c>
      <c r="G242" s="0" t="n">
        <v>0</v>
      </c>
      <c r="H242" s="0" t="n">
        <v>1</v>
      </c>
      <c r="I242" s="0" t="n">
        <v>100</v>
      </c>
      <c r="J242" s="0" t="n">
        <v>43.47</v>
      </c>
      <c r="K242" s="0" t="n">
        <v>80.91</v>
      </c>
      <c r="L242" s="0" t="n">
        <v>0.98</v>
      </c>
      <c r="M242" s="0" t="n">
        <v>0.8</v>
      </c>
      <c r="N242" s="0" t="n">
        <v>0.91</v>
      </c>
      <c r="O242" s="0" t="n">
        <v>4.57</v>
      </c>
      <c r="P242" s="0" t="n">
        <v>4.09</v>
      </c>
      <c r="Q242" s="0" t="n">
        <v>4.35</v>
      </c>
      <c r="R242" s="0" t="s">
        <v>1434</v>
      </c>
      <c r="S242" s="0" t="s">
        <v>1435</v>
      </c>
      <c r="T242" s="0" t="s">
        <v>1436</v>
      </c>
      <c r="U242" s="0" t="s">
        <v>36</v>
      </c>
      <c r="V242" s="0" t="n">
        <f aca="false">(I242/100 + O242/5) / 2</f>
        <v>0.957</v>
      </c>
      <c r="W242" s="0" t="n">
        <f aca="false">(J242/100 + P242/5) / 2</f>
        <v>0.62635</v>
      </c>
      <c r="X242" s="0" t="n">
        <f aca="false">(K242/100 + Q242/5) / 2</f>
        <v>0.83955</v>
      </c>
    </row>
    <row r="243" customFormat="false" ht="12.8" hidden="false" customHeight="false" outlineLevel="0" collapsed="false">
      <c r="A243" s="0" t="s">
        <v>1437</v>
      </c>
      <c r="B243" s="0" t="s">
        <v>1438</v>
      </c>
      <c r="C243" s="0" t="s">
        <v>1438</v>
      </c>
      <c r="D243" s="0" t="s">
        <v>1439</v>
      </c>
      <c r="E243" s="0" t="s">
        <v>1440</v>
      </c>
      <c r="F243" s="0" t="n">
        <v>1</v>
      </c>
      <c r="G243" s="0" t="n">
        <v>1</v>
      </c>
      <c r="H243" s="0" t="n">
        <v>1</v>
      </c>
      <c r="I243" s="0" t="n">
        <v>100</v>
      </c>
      <c r="J243" s="0" t="n">
        <v>13.13</v>
      </c>
      <c r="K243" s="0" t="n">
        <v>84.09</v>
      </c>
      <c r="L243" s="0" t="n">
        <v>0.98</v>
      </c>
      <c r="M243" s="0" t="n">
        <v>0.89</v>
      </c>
      <c r="N243" s="0" t="n">
        <v>0.93</v>
      </c>
      <c r="O243" s="0" t="n">
        <v>4.99</v>
      </c>
      <c r="P243" s="0" t="n">
        <v>4.36</v>
      </c>
      <c r="Q243" s="0" t="n">
        <v>4.92</v>
      </c>
      <c r="R243" s="0" t="s">
        <v>1441</v>
      </c>
      <c r="S243" s="0" t="s">
        <v>286</v>
      </c>
      <c r="T243" s="0" t="s">
        <v>1059</v>
      </c>
      <c r="U243" s="0" t="s">
        <v>28</v>
      </c>
      <c r="V243" s="0" t="n">
        <f aca="false">(I243/100 + O243/5) / 2</f>
        <v>0.999</v>
      </c>
      <c r="W243" s="0" t="n">
        <f aca="false">(J243/100 + P243/5) / 2</f>
        <v>0.50165</v>
      </c>
      <c r="X243" s="0" t="n">
        <f aca="false">(K243/100 + Q243/5) / 2</f>
        <v>0.91245</v>
      </c>
    </row>
    <row r="244" customFormat="false" ht="12.8" hidden="false" customHeight="false" outlineLevel="0" collapsed="false">
      <c r="A244" s="0" t="s">
        <v>1442</v>
      </c>
      <c r="B244" s="0" t="s">
        <v>1443</v>
      </c>
      <c r="C244" s="0" t="s">
        <v>1444</v>
      </c>
      <c r="D244" s="0" t="s">
        <v>1445</v>
      </c>
      <c r="E244" s="0" t="s">
        <v>1446</v>
      </c>
      <c r="F244" s="0" t="n">
        <v>0</v>
      </c>
      <c r="G244" s="0" t="n">
        <v>0</v>
      </c>
      <c r="H244" s="0" t="n">
        <v>0</v>
      </c>
      <c r="I244" s="0" t="n">
        <v>76.12</v>
      </c>
      <c r="J244" s="0" t="n">
        <v>76.12</v>
      </c>
      <c r="K244" s="0" t="n">
        <v>28.74</v>
      </c>
      <c r="L244" s="0" t="n">
        <v>0.96</v>
      </c>
      <c r="M244" s="0" t="n">
        <v>0.96</v>
      </c>
      <c r="N244" s="0" t="n">
        <v>0.95</v>
      </c>
      <c r="O244" s="0" t="n">
        <v>5.02</v>
      </c>
      <c r="P244" s="0" t="n">
        <v>5.02</v>
      </c>
      <c r="Q244" s="0" t="n">
        <v>4.95</v>
      </c>
      <c r="R244" s="0" t="s">
        <v>378</v>
      </c>
      <c r="S244" s="0" t="s">
        <v>378</v>
      </c>
      <c r="T244" s="0" t="s">
        <v>378</v>
      </c>
      <c r="U244" s="0" t="s">
        <v>54</v>
      </c>
      <c r="V244" s="0" t="n">
        <f aca="false">(I244/100 + O244/5) / 2</f>
        <v>0.8826</v>
      </c>
      <c r="W244" s="0" t="n">
        <f aca="false">(J244/100 + P244/5) / 2</f>
        <v>0.8826</v>
      </c>
      <c r="X244" s="0" t="n">
        <f aca="false">(K244/100 + Q244/5) / 2</f>
        <v>0.6387</v>
      </c>
    </row>
    <row r="245" customFormat="false" ht="12.8" hidden="false" customHeight="false" outlineLevel="0" collapsed="false">
      <c r="A245" s="0" t="s">
        <v>1447</v>
      </c>
      <c r="B245" s="0" t="s">
        <v>1448</v>
      </c>
      <c r="C245" s="0" t="s">
        <v>1449</v>
      </c>
      <c r="D245" s="0" t="s">
        <v>1450</v>
      </c>
      <c r="E245" s="0" t="s">
        <v>1450</v>
      </c>
      <c r="F245" s="0" t="n">
        <v>1</v>
      </c>
      <c r="G245" s="0" t="n">
        <v>1</v>
      </c>
      <c r="H245" s="0" t="n">
        <v>1</v>
      </c>
      <c r="I245" s="0" t="n">
        <v>43.47</v>
      </c>
      <c r="J245" s="0" t="n">
        <v>43.47</v>
      </c>
      <c r="K245" s="0" t="n">
        <v>43.47</v>
      </c>
      <c r="L245" s="0" t="n">
        <v>0.96</v>
      </c>
      <c r="M245" s="0" t="n">
        <v>0.96</v>
      </c>
      <c r="N245" s="0" t="n">
        <v>0.96</v>
      </c>
      <c r="O245" s="0" t="n">
        <v>4.76</v>
      </c>
      <c r="P245" s="0" t="n">
        <v>4.76</v>
      </c>
      <c r="Q245" s="0" t="n">
        <v>4.76</v>
      </c>
      <c r="R245" s="0" t="s">
        <v>26</v>
      </c>
      <c r="S245" s="0" t="s">
        <v>26</v>
      </c>
      <c r="T245" s="0" t="s">
        <v>26</v>
      </c>
      <c r="U245" s="0" t="s">
        <v>54</v>
      </c>
      <c r="V245" s="0" t="n">
        <f aca="false">(I245/100 + O245/5) / 2</f>
        <v>0.69335</v>
      </c>
      <c r="W245" s="0" t="n">
        <f aca="false">(J245/100 + P245/5) / 2</f>
        <v>0.69335</v>
      </c>
      <c r="X245" s="0" t="n">
        <f aca="false">(K245/100 + Q245/5) / 2</f>
        <v>0.69335</v>
      </c>
    </row>
    <row r="246" customFormat="false" ht="12.8" hidden="false" customHeight="false" outlineLevel="0" collapsed="false">
      <c r="A246" s="0" t="s">
        <v>1451</v>
      </c>
      <c r="B246" s="0" t="s">
        <v>1452</v>
      </c>
      <c r="C246" s="0" t="s">
        <v>1452</v>
      </c>
      <c r="D246" s="0" t="s">
        <v>1453</v>
      </c>
      <c r="E246" s="0" t="s">
        <v>1454</v>
      </c>
      <c r="F246" s="0" t="n">
        <v>1</v>
      </c>
      <c r="G246" s="0" t="n">
        <v>0</v>
      </c>
      <c r="H246" s="0" t="n">
        <v>1</v>
      </c>
      <c r="I246" s="0" t="n">
        <v>100</v>
      </c>
      <c r="J246" s="0" t="n">
        <v>72.6</v>
      </c>
      <c r="K246" s="0" t="n">
        <v>84.09</v>
      </c>
      <c r="L246" s="0" t="n">
        <v>0.98</v>
      </c>
      <c r="M246" s="0" t="n">
        <v>0.94</v>
      </c>
      <c r="N246" s="0" t="n">
        <v>0.95</v>
      </c>
      <c r="O246" s="0" t="n">
        <v>5.05</v>
      </c>
      <c r="P246" s="0" t="n">
        <v>4.77</v>
      </c>
      <c r="Q246" s="0" t="n">
        <v>4.98</v>
      </c>
      <c r="R246" s="0" t="s">
        <v>1455</v>
      </c>
      <c r="S246" s="0" t="s">
        <v>1456</v>
      </c>
      <c r="T246" s="0" t="s">
        <v>1457</v>
      </c>
      <c r="U246" s="0" t="s">
        <v>36</v>
      </c>
      <c r="V246" s="0" t="n">
        <f aca="false">(I246/100 + O246/5) / 2</f>
        <v>1.005</v>
      </c>
      <c r="W246" s="0" t="n">
        <f aca="false">(J246/100 + P246/5) / 2</f>
        <v>0.84</v>
      </c>
      <c r="X246" s="0" t="n">
        <f aca="false">(K246/100 + Q246/5) / 2</f>
        <v>0.91845</v>
      </c>
    </row>
    <row r="247" customFormat="false" ht="12.8" hidden="false" customHeight="false" outlineLevel="0" collapsed="false">
      <c r="A247" s="0" t="s">
        <v>1458</v>
      </c>
      <c r="B247" s="0" t="s">
        <v>1459</v>
      </c>
      <c r="C247" s="0" t="s">
        <v>1459</v>
      </c>
      <c r="D247" s="0" t="s">
        <v>1460</v>
      </c>
      <c r="E247" s="0" t="s">
        <v>1461</v>
      </c>
      <c r="F247" s="0" t="n">
        <v>1</v>
      </c>
      <c r="G247" s="0" t="n">
        <v>1</v>
      </c>
      <c r="H247" s="0" t="n">
        <v>1</v>
      </c>
      <c r="I247" s="0" t="n">
        <v>100</v>
      </c>
      <c r="J247" s="0" t="n">
        <v>66.06</v>
      </c>
      <c r="K247" s="0" t="n">
        <v>63.89</v>
      </c>
      <c r="L247" s="0" t="n">
        <v>0.98</v>
      </c>
      <c r="M247" s="0" t="n">
        <v>0.97</v>
      </c>
      <c r="N247" s="0" t="n">
        <v>0.96</v>
      </c>
      <c r="O247" s="0" t="n">
        <v>4.99</v>
      </c>
      <c r="P247" s="0" t="n">
        <v>4.93</v>
      </c>
      <c r="Q247" s="0" t="n">
        <v>4.76</v>
      </c>
      <c r="R247" s="0" t="s">
        <v>1462</v>
      </c>
      <c r="S247" s="0" t="s">
        <v>26</v>
      </c>
      <c r="T247" s="0" t="s">
        <v>27</v>
      </c>
      <c r="U247" s="0" t="s">
        <v>28</v>
      </c>
      <c r="V247" s="0" t="n">
        <f aca="false">(I247/100 + O247/5) / 2</f>
        <v>0.999</v>
      </c>
      <c r="W247" s="0" t="n">
        <f aca="false">(J247/100 + P247/5) / 2</f>
        <v>0.8233</v>
      </c>
      <c r="X247" s="0" t="n">
        <f aca="false">(K247/100 + Q247/5) / 2</f>
        <v>0.79545</v>
      </c>
    </row>
    <row r="248" customFormat="false" ht="12.8" hidden="false" customHeight="false" outlineLevel="0" collapsed="false">
      <c r="A248" s="0" t="s">
        <v>1463</v>
      </c>
      <c r="B248" s="0" t="s">
        <v>1464</v>
      </c>
      <c r="C248" s="0" t="s">
        <v>1464</v>
      </c>
      <c r="D248" s="0" t="s">
        <v>1465</v>
      </c>
      <c r="E248" s="0" t="s">
        <v>1466</v>
      </c>
      <c r="F248" s="0" t="n">
        <v>1</v>
      </c>
      <c r="G248" s="0" t="n">
        <v>1</v>
      </c>
      <c r="H248" s="0" t="n">
        <v>0</v>
      </c>
      <c r="I248" s="0" t="n">
        <v>100</v>
      </c>
      <c r="J248" s="0" t="n">
        <v>100</v>
      </c>
      <c r="K248" s="0" t="n">
        <v>54.75</v>
      </c>
      <c r="L248" s="0" t="n">
        <v>0.98</v>
      </c>
      <c r="M248" s="0" t="n">
        <v>0.98</v>
      </c>
      <c r="N248" s="0" t="n">
        <v>0.84</v>
      </c>
      <c r="O248" s="0" t="n">
        <v>4.46</v>
      </c>
      <c r="P248" s="0" t="n">
        <v>4.46</v>
      </c>
      <c r="Q248" s="0" t="n">
        <v>4.32</v>
      </c>
      <c r="R248" s="0" t="s">
        <v>1467</v>
      </c>
      <c r="S248" s="0" t="s">
        <v>1468</v>
      </c>
      <c r="T248" s="0" t="s">
        <v>124</v>
      </c>
      <c r="U248" s="0" t="s">
        <v>36</v>
      </c>
      <c r="V248" s="0" t="n">
        <f aca="false">(I248/100 + O248/5) / 2</f>
        <v>0.946</v>
      </c>
      <c r="W248" s="0" t="n">
        <f aca="false">(J248/100 + P248/5) / 2</f>
        <v>0.946</v>
      </c>
      <c r="X248" s="0" t="n">
        <f aca="false">(K248/100 + Q248/5) / 2</f>
        <v>0.70575</v>
      </c>
    </row>
    <row r="249" customFormat="false" ht="12.8" hidden="false" customHeight="false" outlineLevel="0" collapsed="false">
      <c r="A249" s="0" t="s">
        <v>1469</v>
      </c>
      <c r="B249" s="0" t="s">
        <v>1470</v>
      </c>
      <c r="C249" s="0" t="s">
        <v>1470</v>
      </c>
      <c r="D249" s="0" t="s">
        <v>1471</v>
      </c>
      <c r="E249" s="0" t="s">
        <v>1472</v>
      </c>
      <c r="F249" s="0" t="n">
        <v>1</v>
      </c>
      <c r="G249" s="0" t="n">
        <v>1</v>
      </c>
      <c r="H249" s="0" t="n">
        <v>1</v>
      </c>
      <c r="I249" s="0" t="n">
        <v>100</v>
      </c>
      <c r="J249" s="0" t="n">
        <v>66.66</v>
      </c>
      <c r="K249" s="0" t="n">
        <v>56.59</v>
      </c>
      <c r="L249" s="0" t="n">
        <v>0.97</v>
      </c>
      <c r="M249" s="0" t="n">
        <v>0.95</v>
      </c>
      <c r="N249" s="0" t="n">
        <v>0.94</v>
      </c>
      <c r="O249" s="0" t="n">
        <v>5.19</v>
      </c>
      <c r="P249" s="0" t="n">
        <v>4.91</v>
      </c>
      <c r="Q249" s="0" t="n">
        <v>4.98</v>
      </c>
      <c r="R249" s="0" t="s">
        <v>1473</v>
      </c>
      <c r="S249" s="0" t="s">
        <v>92</v>
      </c>
      <c r="T249" s="0" t="s">
        <v>188</v>
      </c>
      <c r="U249" s="0" t="s">
        <v>28</v>
      </c>
      <c r="V249" s="0" t="n">
        <f aca="false">(I249/100 + O249/5) / 2</f>
        <v>1.019</v>
      </c>
      <c r="W249" s="0" t="n">
        <f aca="false">(J249/100 + P249/5) / 2</f>
        <v>0.8243</v>
      </c>
      <c r="X249" s="0" t="n">
        <f aca="false">(K249/100 + Q249/5) / 2</f>
        <v>0.78095</v>
      </c>
    </row>
    <row r="250" customFormat="false" ht="12.8" hidden="false" customHeight="false" outlineLevel="0" collapsed="false">
      <c r="A250" s="0" t="s">
        <v>1474</v>
      </c>
      <c r="B250" s="0" t="s">
        <v>1475</v>
      </c>
      <c r="C250" s="0" t="s">
        <v>1476</v>
      </c>
      <c r="D250" s="0" t="s">
        <v>1477</v>
      </c>
      <c r="E250" s="0" t="s">
        <v>1478</v>
      </c>
      <c r="F250" s="0" t="n">
        <v>1</v>
      </c>
      <c r="G250" s="0" t="n">
        <v>1</v>
      </c>
      <c r="H250" s="0" t="n">
        <v>1</v>
      </c>
      <c r="I250" s="0" t="n">
        <v>24.81</v>
      </c>
      <c r="J250" s="0" t="n">
        <v>46.6</v>
      </c>
      <c r="K250" s="0" t="n">
        <v>32.65</v>
      </c>
      <c r="L250" s="0" t="n">
        <v>0.95</v>
      </c>
      <c r="M250" s="0" t="n">
        <v>0.97</v>
      </c>
      <c r="N250" s="0" t="n">
        <v>0.94</v>
      </c>
      <c r="O250" s="0" t="n">
        <v>4.77</v>
      </c>
      <c r="P250" s="0" t="n">
        <v>4.75</v>
      </c>
      <c r="Q250" s="0" t="n">
        <v>3.41</v>
      </c>
      <c r="R250" s="0" t="s">
        <v>1479</v>
      </c>
      <c r="S250" s="0" t="s">
        <v>92</v>
      </c>
      <c r="T250" s="0" t="s">
        <v>1480</v>
      </c>
      <c r="U250" s="0" t="s">
        <v>28</v>
      </c>
      <c r="V250" s="0" t="n">
        <f aca="false">(I250/100 + O250/5) / 2</f>
        <v>0.60105</v>
      </c>
      <c r="W250" s="0" t="n">
        <f aca="false">(J250/100 + P250/5) / 2</f>
        <v>0.708</v>
      </c>
      <c r="X250" s="0" t="n">
        <f aca="false">(K250/100 + Q250/5) / 2</f>
        <v>0.50425</v>
      </c>
    </row>
    <row r="251" customFormat="false" ht="12.8" hidden="false" customHeight="false" outlineLevel="0" collapsed="false">
      <c r="A251" s="0" t="s">
        <v>1481</v>
      </c>
      <c r="B251" s="0" t="s">
        <v>1482</v>
      </c>
      <c r="C251" s="0" t="s">
        <v>1483</v>
      </c>
      <c r="D251" s="0" t="s">
        <v>1484</v>
      </c>
      <c r="E251" s="0" t="s">
        <v>1485</v>
      </c>
      <c r="F251" s="0" t="n">
        <v>1</v>
      </c>
      <c r="G251" s="0" t="n">
        <v>1</v>
      </c>
      <c r="H251" s="0" t="n">
        <v>1</v>
      </c>
      <c r="I251" s="0" t="n">
        <v>57.61</v>
      </c>
      <c r="J251" s="0" t="n">
        <v>57.61</v>
      </c>
      <c r="K251" s="0" t="n">
        <v>9.55</v>
      </c>
      <c r="L251" s="0" t="n">
        <v>0.92</v>
      </c>
      <c r="M251" s="0" t="n">
        <v>0.93</v>
      </c>
      <c r="N251" s="0" t="n">
        <v>0.87</v>
      </c>
      <c r="O251" s="0" t="n">
        <v>4.64</v>
      </c>
      <c r="P251" s="0" t="n">
        <v>4.57</v>
      </c>
      <c r="Q251" s="0" t="n">
        <v>4.09</v>
      </c>
      <c r="R251" s="0" t="s">
        <v>1486</v>
      </c>
      <c r="S251" s="0" t="s">
        <v>510</v>
      </c>
      <c r="T251" s="0" t="s">
        <v>1487</v>
      </c>
      <c r="U251" s="0" t="s">
        <v>28</v>
      </c>
      <c r="V251" s="0" t="n">
        <f aca="false">(I251/100 + O251/5) / 2</f>
        <v>0.75205</v>
      </c>
      <c r="W251" s="0" t="n">
        <f aca="false">(J251/100 + P251/5) / 2</f>
        <v>0.74505</v>
      </c>
      <c r="X251" s="0" t="n">
        <f aca="false">(K251/100 + Q251/5) / 2</f>
        <v>0.45675</v>
      </c>
    </row>
    <row r="252" customFormat="false" ht="12.8" hidden="false" customHeight="false" outlineLevel="0" collapsed="false">
      <c r="A252" s="0" t="s">
        <v>1488</v>
      </c>
      <c r="B252" s="0" t="s">
        <v>1489</v>
      </c>
      <c r="C252" s="0" t="s">
        <v>1489</v>
      </c>
      <c r="D252" s="0" t="s">
        <v>1490</v>
      </c>
      <c r="E252" s="0" t="s">
        <v>1491</v>
      </c>
      <c r="F252" s="0" t="n">
        <v>1</v>
      </c>
      <c r="G252" s="0" t="n">
        <v>0</v>
      </c>
      <c r="H252" s="0" t="n">
        <v>1</v>
      </c>
      <c r="I252" s="0" t="n">
        <v>100</v>
      </c>
      <c r="J252" s="0" t="n">
        <v>77.26</v>
      </c>
      <c r="K252" s="0" t="n">
        <v>77.26</v>
      </c>
      <c r="L252" s="0" t="n">
        <v>0.98</v>
      </c>
      <c r="M252" s="0" t="n">
        <v>0.89</v>
      </c>
      <c r="N252" s="0" t="n">
        <v>0.93</v>
      </c>
      <c r="O252" s="0" t="n">
        <v>4.56</v>
      </c>
      <c r="P252" s="0" t="n">
        <v>3.99</v>
      </c>
      <c r="Q252" s="0" t="n">
        <v>4.19</v>
      </c>
      <c r="R252" s="0" t="s">
        <v>1492</v>
      </c>
      <c r="S252" s="0" t="s">
        <v>1493</v>
      </c>
      <c r="T252" s="0" t="s">
        <v>1494</v>
      </c>
      <c r="U252" s="0" t="s">
        <v>36</v>
      </c>
      <c r="V252" s="0" t="n">
        <f aca="false">(I252/100 + O252/5) / 2</f>
        <v>0.956</v>
      </c>
      <c r="W252" s="0" t="n">
        <f aca="false">(J252/100 + P252/5) / 2</f>
        <v>0.7853</v>
      </c>
      <c r="X252" s="0" t="n">
        <f aca="false">(K252/100 + Q252/5) / 2</f>
        <v>0.8053</v>
      </c>
    </row>
    <row r="253" customFormat="false" ht="12.8" hidden="false" customHeight="false" outlineLevel="0" collapsed="false">
      <c r="A253" s="0" t="s">
        <v>1495</v>
      </c>
      <c r="B253" s="0" t="s">
        <v>1496</v>
      </c>
      <c r="C253" s="0" t="s">
        <v>1497</v>
      </c>
      <c r="D253" s="0" t="s">
        <v>1498</v>
      </c>
      <c r="E253" s="0" t="s">
        <v>1498</v>
      </c>
      <c r="F253" s="0" t="n">
        <v>1</v>
      </c>
      <c r="G253" s="0" t="n">
        <v>1</v>
      </c>
      <c r="H253" s="0" t="n">
        <v>1</v>
      </c>
      <c r="I253" s="0" t="n">
        <v>54.75</v>
      </c>
      <c r="J253" s="0" t="n">
        <v>54.75</v>
      </c>
      <c r="K253" s="0" t="n">
        <v>54.75</v>
      </c>
      <c r="L253" s="0" t="n">
        <v>0.65</v>
      </c>
      <c r="M253" s="0" t="n">
        <v>0.65</v>
      </c>
      <c r="N253" s="0" t="n">
        <v>0.65</v>
      </c>
      <c r="O253" s="0" t="n">
        <v>4.28</v>
      </c>
      <c r="P253" s="0" t="n">
        <v>4.28</v>
      </c>
      <c r="Q253" s="0" t="n">
        <v>4.28</v>
      </c>
      <c r="R253" s="0" t="s">
        <v>26</v>
      </c>
      <c r="S253" s="0" t="s">
        <v>26</v>
      </c>
      <c r="T253" s="0" t="s">
        <v>26</v>
      </c>
      <c r="U253" s="0" t="s">
        <v>54</v>
      </c>
      <c r="V253" s="0" t="n">
        <f aca="false">(I253/100 + O253/5) / 2</f>
        <v>0.70175</v>
      </c>
      <c r="W253" s="0" t="n">
        <f aca="false">(J253/100 + P253/5) / 2</f>
        <v>0.70175</v>
      </c>
      <c r="X253" s="0" t="n">
        <f aca="false">(K253/100 + Q253/5) / 2</f>
        <v>0.70175</v>
      </c>
    </row>
    <row r="254" customFormat="false" ht="12.8" hidden="false" customHeight="false" outlineLevel="0" collapsed="false">
      <c r="A254" s="0" t="s">
        <v>1499</v>
      </c>
      <c r="B254" s="0" t="s">
        <v>1500</v>
      </c>
      <c r="C254" s="0" t="s">
        <v>1500</v>
      </c>
      <c r="D254" s="0" t="s">
        <v>1501</v>
      </c>
      <c r="E254" s="0" t="s">
        <v>1502</v>
      </c>
      <c r="F254" s="0" t="n">
        <v>1</v>
      </c>
      <c r="G254" s="0" t="n">
        <v>1</v>
      </c>
      <c r="H254" s="0" t="n">
        <v>1</v>
      </c>
      <c r="I254" s="0" t="n">
        <v>100</v>
      </c>
      <c r="J254" s="0" t="n">
        <v>100</v>
      </c>
      <c r="K254" s="0" t="n">
        <v>15.36</v>
      </c>
      <c r="L254" s="0" t="n">
        <v>0.98</v>
      </c>
      <c r="M254" s="0" t="n">
        <v>0.98</v>
      </c>
      <c r="N254" s="0" t="n">
        <v>0.91</v>
      </c>
      <c r="O254" s="0" t="n">
        <v>5.13</v>
      </c>
      <c r="P254" s="0" t="n">
        <v>5.13</v>
      </c>
      <c r="Q254" s="0" t="n">
        <v>4.44</v>
      </c>
      <c r="R254" s="0" t="s">
        <v>1503</v>
      </c>
      <c r="S254" s="0" t="s">
        <v>187</v>
      </c>
      <c r="T254" s="0" t="s">
        <v>91</v>
      </c>
      <c r="U254" s="0" t="s">
        <v>28</v>
      </c>
      <c r="V254" s="0" t="n">
        <f aca="false">(I254/100 + O254/5) / 2</f>
        <v>1.013</v>
      </c>
      <c r="W254" s="0" t="n">
        <f aca="false">(J254/100 + P254/5) / 2</f>
        <v>1.013</v>
      </c>
      <c r="X254" s="0" t="n">
        <f aca="false">(K254/100 + Q254/5) / 2</f>
        <v>0.5208</v>
      </c>
    </row>
    <row r="255" customFormat="false" ht="12.8" hidden="false" customHeight="false" outlineLevel="0" collapsed="false">
      <c r="A255" s="0" t="s">
        <v>1504</v>
      </c>
      <c r="B255" s="0" t="s">
        <v>1505</v>
      </c>
      <c r="C255" s="0" t="s">
        <v>1505</v>
      </c>
      <c r="D255" s="0" t="s">
        <v>1506</v>
      </c>
      <c r="E255" s="0" t="s">
        <v>1507</v>
      </c>
      <c r="F255" s="0" t="n">
        <v>1</v>
      </c>
      <c r="G255" s="0" t="n">
        <v>1</v>
      </c>
      <c r="H255" s="0" t="n">
        <v>1</v>
      </c>
      <c r="I255" s="0" t="n">
        <v>100</v>
      </c>
      <c r="J255" s="0" t="n">
        <v>100</v>
      </c>
      <c r="K255" s="0" t="n">
        <v>25.13</v>
      </c>
      <c r="L255" s="0" t="n">
        <v>0.98</v>
      </c>
      <c r="M255" s="0" t="n">
        <v>0.98</v>
      </c>
      <c r="N255" s="0" t="n">
        <v>0.96</v>
      </c>
      <c r="O255" s="0" t="n">
        <v>4.82</v>
      </c>
      <c r="P255" s="0" t="n">
        <v>4.82</v>
      </c>
      <c r="Q255" s="0" t="n">
        <v>3.93</v>
      </c>
      <c r="R255" s="0" t="s">
        <v>1508</v>
      </c>
      <c r="S255" s="0" t="s">
        <v>26</v>
      </c>
      <c r="T255" s="0" t="s">
        <v>1509</v>
      </c>
      <c r="U255" s="0" t="s">
        <v>28</v>
      </c>
      <c r="V255" s="0" t="n">
        <f aca="false">(I255/100 + O255/5) / 2</f>
        <v>0.982</v>
      </c>
      <c r="W255" s="0" t="n">
        <f aca="false">(J255/100 + P255/5) / 2</f>
        <v>0.982</v>
      </c>
      <c r="X255" s="0" t="n">
        <f aca="false">(K255/100 + Q255/5) / 2</f>
        <v>0.51865</v>
      </c>
    </row>
    <row r="256" customFormat="false" ht="12.8" hidden="false" customHeight="false" outlineLevel="0" collapsed="false">
      <c r="A256" s="0" t="s">
        <v>1510</v>
      </c>
      <c r="B256" s="0" t="s">
        <v>1511</v>
      </c>
      <c r="C256" s="0" t="s">
        <v>1512</v>
      </c>
      <c r="D256" s="0" t="s">
        <v>1513</v>
      </c>
      <c r="E256" s="0" t="s">
        <v>1514</v>
      </c>
      <c r="F256" s="0" t="n">
        <v>1</v>
      </c>
      <c r="G256" s="0" t="n">
        <v>0</v>
      </c>
      <c r="H256" s="0" t="n">
        <v>0</v>
      </c>
      <c r="I256" s="0" t="n">
        <v>78.25</v>
      </c>
      <c r="J256" s="0" t="n">
        <v>39.28</v>
      </c>
      <c r="K256" s="0" t="n">
        <v>39.28</v>
      </c>
      <c r="L256" s="0" t="n">
        <v>0.95</v>
      </c>
      <c r="M256" s="0" t="n">
        <v>0.91</v>
      </c>
      <c r="N256" s="0" t="n">
        <v>0.94</v>
      </c>
      <c r="O256" s="0" t="n">
        <v>4.54</v>
      </c>
      <c r="P256" s="0" t="n">
        <v>4.39</v>
      </c>
      <c r="Q256" s="0" t="n">
        <v>4.51</v>
      </c>
      <c r="R256" s="0" t="s">
        <v>1515</v>
      </c>
      <c r="S256" s="0" t="s">
        <v>1387</v>
      </c>
      <c r="T256" s="0" t="s">
        <v>1516</v>
      </c>
      <c r="U256" s="0" t="s">
        <v>36</v>
      </c>
      <c r="V256" s="0" t="n">
        <f aca="false">(I256/100 + O256/5) / 2</f>
        <v>0.84525</v>
      </c>
      <c r="W256" s="0" t="n">
        <f aca="false">(J256/100 + P256/5) / 2</f>
        <v>0.6354</v>
      </c>
      <c r="X256" s="0" t="n">
        <f aca="false">(K256/100 + Q256/5) / 2</f>
        <v>0.6474</v>
      </c>
    </row>
    <row r="257" customFormat="false" ht="12.8" hidden="false" customHeight="false" outlineLevel="0" collapsed="false">
      <c r="A257" s="0" t="s">
        <v>1517</v>
      </c>
      <c r="B257" s="0" t="s">
        <v>1518</v>
      </c>
      <c r="C257" s="0" t="s">
        <v>1518</v>
      </c>
      <c r="D257" s="0" t="s">
        <v>1519</v>
      </c>
      <c r="E257" s="0" t="s">
        <v>1520</v>
      </c>
      <c r="F257" s="0" t="n">
        <v>1</v>
      </c>
      <c r="G257" s="0" t="n">
        <v>0</v>
      </c>
      <c r="H257" s="0" t="n">
        <v>1</v>
      </c>
      <c r="I257" s="0" t="n">
        <v>100</v>
      </c>
      <c r="J257" s="0" t="n">
        <v>74.19</v>
      </c>
      <c r="K257" s="0" t="n">
        <v>43.67</v>
      </c>
      <c r="L257" s="0" t="n">
        <v>0.98</v>
      </c>
      <c r="M257" s="0" t="n">
        <v>0.97</v>
      </c>
      <c r="N257" s="0" t="n">
        <v>0.95</v>
      </c>
      <c r="O257" s="0" t="n">
        <v>4.8</v>
      </c>
      <c r="P257" s="0" t="n">
        <v>4.8</v>
      </c>
      <c r="Q257" s="0" t="n">
        <v>3.14</v>
      </c>
      <c r="R257" s="0" t="s">
        <v>1521</v>
      </c>
      <c r="S257" s="0" t="s">
        <v>1522</v>
      </c>
      <c r="T257" s="0" t="s">
        <v>1523</v>
      </c>
      <c r="U257" s="0" t="s">
        <v>28</v>
      </c>
      <c r="V257" s="0" t="n">
        <f aca="false">(I257/100 + O257/5) / 2</f>
        <v>0.98</v>
      </c>
      <c r="W257" s="0" t="n">
        <f aca="false">(J257/100 + P257/5) / 2</f>
        <v>0.85095</v>
      </c>
      <c r="X257" s="0" t="n">
        <f aca="false">(K257/100 + Q257/5) / 2</f>
        <v>0.53235</v>
      </c>
    </row>
    <row r="258" customFormat="false" ht="12.8" hidden="false" customHeight="false" outlineLevel="0" collapsed="false">
      <c r="A258" s="0" t="s">
        <v>1524</v>
      </c>
      <c r="B258" s="0" t="s">
        <v>1525</v>
      </c>
      <c r="C258" s="0" t="s">
        <v>1526</v>
      </c>
      <c r="D258" s="0" t="s">
        <v>1527</v>
      </c>
      <c r="E258" s="0" t="s">
        <v>1528</v>
      </c>
      <c r="F258" s="0" t="n">
        <v>1</v>
      </c>
      <c r="G258" s="0" t="n">
        <v>0</v>
      </c>
      <c r="H258" s="0" t="n">
        <v>1</v>
      </c>
      <c r="I258" s="0" t="n">
        <v>32.16</v>
      </c>
      <c r="J258" s="0" t="n">
        <v>16.34</v>
      </c>
      <c r="K258" s="0" t="n">
        <v>15.21</v>
      </c>
      <c r="L258" s="0" t="n">
        <v>0.87</v>
      </c>
      <c r="M258" s="0" t="n">
        <v>0.8</v>
      </c>
      <c r="N258" s="0" t="n">
        <v>0.86</v>
      </c>
      <c r="O258" s="0" t="n">
        <v>4.63</v>
      </c>
      <c r="P258" s="0" t="n">
        <v>4.37</v>
      </c>
      <c r="Q258" s="0" t="n">
        <v>4.16</v>
      </c>
      <c r="R258" s="0" t="s">
        <v>1529</v>
      </c>
      <c r="S258" s="0" t="s">
        <v>1530</v>
      </c>
      <c r="T258" s="0" t="s">
        <v>1531</v>
      </c>
      <c r="U258" s="0" t="s">
        <v>36</v>
      </c>
      <c r="V258" s="0" t="n">
        <f aca="false">(I258/100 + O258/5) / 2</f>
        <v>0.6238</v>
      </c>
      <c r="W258" s="0" t="n">
        <f aca="false">(J258/100 + P258/5) / 2</f>
        <v>0.5187</v>
      </c>
      <c r="X258" s="0" t="n">
        <f aca="false">(K258/100 + Q258/5) / 2</f>
        <v>0.49205</v>
      </c>
    </row>
    <row r="259" customFormat="false" ht="12.8" hidden="false" customHeight="false" outlineLevel="0" collapsed="false">
      <c r="A259" s="0" t="s">
        <v>1532</v>
      </c>
      <c r="B259" s="0" t="s">
        <v>1533</v>
      </c>
      <c r="C259" s="0" t="s">
        <v>1534</v>
      </c>
      <c r="D259" s="0" t="s">
        <v>1535</v>
      </c>
      <c r="E259" s="0" t="s">
        <v>1536</v>
      </c>
      <c r="F259" s="0" t="n">
        <v>1</v>
      </c>
      <c r="G259" s="0" t="n">
        <v>0</v>
      </c>
      <c r="H259" s="0" t="n">
        <v>1</v>
      </c>
      <c r="I259" s="0" t="n">
        <v>89.32</v>
      </c>
      <c r="J259" s="0" t="n">
        <v>26.66</v>
      </c>
      <c r="K259" s="0" t="n">
        <v>48.33</v>
      </c>
      <c r="L259" s="0" t="n">
        <v>0.97</v>
      </c>
      <c r="M259" s="0" t="n">
        <v>0.93</v>
      </c>
      <c r="N259" s="0" t="n">
        <v>0.97</v>
      </c>
      <c r="O259" s="0" t="n">
        <v>5.01</v>
      </c>
      <c r="P259" s="0" t="n">
        <v>5.01</v>
      </c>
      <c r="Q259" s="0" t="n">
        <v>4.98</v>
      </c>
      <c r="R259" s="0" t="s">
        <v>1537</v>
      </c>
      <c r="S259" s="0" t="s">
        <v>833</v>
      </c>
      <c r="T259" s="0" t="s">
        <v>1538</v>
      </c>
      <c r="U259" s="0" t="s">
        <v>36</v>
      </c>
      <c r="V259" s="0" t="n">
        <f aca="false">(I259/100 + O259/5) / 2</f>
        <v>0.9476</v>
      </c>
      <c r="W259" s="0" t="n">
        <f aca="false">(J259/100 + P259/5) / 2</f>
        <v>0.6343</v>
      </c>
      <c r="X259" s="0" t="n">
        <f aca="false">(K259/100 + Q259/5) / 2</f>
        <v>0.73965</v>
      </c>
    </row>
    <row r="260" customFormat="false" ht="12.8" hidden="false" customHeight="false" outlineLevel="0" collapsed="false">
      <c r="A260" s="0" t="s">
        <v>1539</v>
      </c>
      <c r="B260" s="0" t="s">
        <v>1540</v>
      </c>
      <c r="C260" s="0" t="s">
        <v>1540</v>
      </c>
      <c r="D260" s="0" t="s">
        <v>1541</v>
      </c>
      <c r="E260" s="0" t="s">
        <v>1542</v>
      </c>
      <c r="F260" s="0" t="n">
        <v>1</v>
      </c>
      <c r="G260" s="0" t="n">
        <v>1</v>
      </c>
      <c r="H260" s="0" t="n">
        <v>0</v>
      </c>
      <c r="I260" s="0" t="n">
        <v>100</v>
      </c>
      <c r="J260" s="0" t="n">
        <v>100</v>
      </c>
      <c r="K260" s="0" t="n">
        <v>70.71</v>
      </c>
      <c r="L260" s="0" t="n">
        <v>0.98</v>
      </c>
      <c r="M260" s="0" t="n">
        <v>0.98</v>
      </c>
      <c r="N260" s="0" t="n">
        <v>0.95</v>
      </c>
      <c r="O260" s="0" t="n">
        <v>4.6</v>
      </c>
      <c r="P260" s="0" t="n">
        <v>4.6</v>
      </c>
      <c r="Q260" s="0" t="n">
        <v>4.37</v>
      </c>
      <c r="R260" s="0" t="s">
        <v>1543</v>
      </c>
      <c r="S260" s="0" t="s">
        <v>173</v>
      </c>
      <c r="T260" s="0" t="s">
        <v>1544</v>
      </c>
      <c r="U260" s="0" t="s">
        <v>36</v>
      </c>
      <c r="V260" s="0" t="n">
        <f aca="false">(I260/100 + O260/5) / 2</f>
        <v>0.96</v>
      </c>
      <c r="W260" s="0" t="n">
        <f aca="false">(J260/100 + P260/5) / 2</f>
        <v>0.96</v>
      </c>
      <c r="X260" s="0" t="n">
        <f aca="false">(K260/100 + Q260/5) / 2</f>
        <v>0.79055</v>
      </c>
    </row>
    <row r="261" customFormat="false" ht="12.8" hidden="false" customHeight="false" outlineLevel="0" collapsed="false">
      <c r="A261" s="0" t="s">
        <v>1545</v>
      </c>
      <c r="B261" s="0" t="s">
        <v>1546</v>
      </c>
      <c r="C261" s="0" t="s">
        <v>1546</v>
      </c>
      <c r="D261" s="0" t="s">
        <v>1547</v>
      </c>
      <c r="E261" s="0" t="s">
        <v>1548</v>
      </c>
      <c r="F261" s="0" t="n">
        <v>1</v>
      </c>
      <c r="G261" s="0" t="n">
        <v>1</v>
      </c>
      <c r="H261" s="0" t="n">
        <v>1</v>
      </c>
      <c r="I261" s="0" t="n">
        <v>100</v>
      </c>
      <c r="J261" s="0" t="n">
        <v>53.42</v>
      </c>
      <c r="K261" s="0" t="n">
        <v>32.47</v>
      </c>
      <c r="L261" s="0" t="n">
        <v>0.98</v>
      </c>
      <c r="M261" s="0" t="n">
        <v>0.96</v>
      </c>
      <c r="N261" s="0" t="n">
        <v>0.95</v>
      </c>
      <c r="O261" s="0" t="n">
        <v>4.86</v>
      </c>
      <c r="P261" s="0" t="n">
        <v>4.53</v>
      </c>
      <c r="Q261" s="0" t="n">
        <v>3.17</v>
      </c>
      <c r="R261" s="0" t="s">
        <v>1549</v>
      </c>
      <c r="S261" s="0" t="s">
        <v>92</v>
      </c>
      <c r="T261" s="0" t="s">
        <v>479</v>
      </c>
      <c r="U261" s="0" t="s">
        <v>28</v>
      </c>
      <c r="V261" s="0" t="n">
        <f aca="false">(I261/100 + O261/5) / 2</f>
        <v>0.986</v>
      </c>
      <c r="W261" s="0" t="n">
        <f aca="false">(J261/100 + P261/5) / 2</f>
        <v>0.7201</v>
      </c>
      <c r="X261" s="0" t="n">
        <f aca="false">(K261/100 + Q261/5) / 2</f>
        <v>0.47935</v>
      </c>
    </row>
    <row r="262" customFormat="false" ht="12.8" hidden="false" customHeight="false" outlineLevel="0" collapsed="false">
      <c r="A262" s="0" t="s">
        <v>1550</v>
      </c>
      <c r="B262" s="0" t="s">
        <v>1551</v>
      </c>
      <c r="C262" s="0" t="s">
        <v>1551</v>
      </c>
      <c r="D262" s="0" t="s">
        <v>1552</v>
      </c>
      <c r="E262" s="0" t="s">
        <v>1553</v>
      </c>
      <c r="F262" s="0" t="n">
        <v>1</v>
      </c>
      <c r="G262" s="0" t="n">
        <v>1</v>
      </c>
      <c r="H262" s="0" t="n">
        <v>1</v>
      </c>
      <c r="I262" s="0" t="n">
        <v>100</v>
      </c>
      <c r="J262" s="0" t="n">
        <v>100</v>
      </c>
      <c r="K262" s="0" t="n">
        <v>53.08</v>
      </c>
      <c r="L262" s="0" t="n">
        <v>0.99</v>
      </c>
      <c r="M262" s="0" t="n">
        <v>0.99</v>
      </c>
      <c r="N262" s="0" t="n">
        <v>0.98</v>
      </c>
      <c r="O262" s="0" t="n">
        <v>4.68</v>
      </c>
      <c r="P262" s="0" t="n">
        <v>4.68</v>
      </c>
      <c r="Q262" s="0" t="n">
        <v>4.52</v>
      </c>
      <c r="R262" s="0" t="s">
        <v>1554</v>
      </c>
      <c r="S262" s="0" t="s">
        <v>26</v>
      </c>
      <c r="T262" s="0" t="s">
        <v>92</v>
      </c>
      <c r="U262" s="0" t="s">
        <v>28</v>
      </c>
      <c r="V262" s="0" t="n">
        <f aca="false">(I262/100 + O262/5) / 2</f>
        <v>0.968</v>
      </c>
      <c r="W262" s="0" t="n">
        <f aca="false">(J262/100 + P262/5) / 2</f>
        <v>0.968</v>
      </c>
      <c r="X262" s="0" t="n">
        <f aca="false">(K262/100 + Q262/5) / 2</f>
        <v>0.7174</v>
      </c>
    </row>
    <row r="263" customFormat="false" ht="12.8" hidden="false" customHeight="false" outlineLevel="0" collapsed="false">
      <c r="A263" s="0" t="s">
        <v>1555</v>
      </c>
      <c r="B263" s="0" t="s">
        <v>1556</v>
      </c>
      <c r="C263" s="0" t="s">
        <v>1556</v>
      </c>
      <c r="D263" s="0" t="s">
        <v>1557</v>
      </c>
      <c r="E263" s="0" t="s">
        <v>1557</v>
      </c>
      <c r="F263" s="0" t="n">
        <v>1</v>
      </c>
      <c r="G263" s="0" t="n">
        <v>1</v>
      </c>
      <c r="H263" s="0" t="n">
        <v>1</v>
      </c>
      <c r="I263" s="0" t="n">
        <v>100</v>
      </c>
      <c r="J263" s="0" t="n">
        <v>100</v>
      </c>
      <c r="K263" s="0" t="n">
        <v>100</v>
      </c>
      <c r="L263" s="0" t="n">
        <v>0.98</v>
      </c>
      <c r="M263" s="0" t="n">
        <v>0.98</v>
      </c>
      <c r="N263" s="0" t="n">
        <v>0.98</v>
      </c>
      <c r="O263" s="0" t="n">
        <v>4.97</v>
      </c>
      <c r="P263" s="0" t="n">
        <v>4.97</v>
      </c>
      <c r="Q263" s="0" t="n">
        <v>4.97</v>
      </c>
      <c r="R263" s="0" t="s">
        <v>26</v>
      </c>
      <c r="S263" s="0" t="s">
        <v>26</v>
      </c>
      <c r="T263" s="0" t="s">
        <v>26</v>
      </c>
      <c r="U263" s="0" t="s">
        <v>54</v>
      </c>
      <c r="V263" s="0" t="n">
        <f aca="false">(I263/100 + O263/5) / 2</f>
        <v>0.997</v>
      </c>
      <c r="W263" s="0" t="n">
        <f aca="false">(J263/100 + P263/5) / 2</f>
        <v>0.997</v>
      </c>
      <c r="X263" s="0" t="n">
        <f aca="false">(K263/100 + Q263/5) / 2</f>
        <v>0.997</v>
      </c>
    </row>
    <row r="264" customFormat="false" ht="12.8" hidden="false" customHeight="false" outlineLevel="0" collapsed="false">
      <c r="A264" s="0" t="s">
        <v>1558</v>
      </c>
      <c r="B264" s="0" t="s">
        <v>1559</v>
      </c>
      <c r="C264" s="0" t="s">
        <v>1560</v>
      </c>
      <c r="D264" s="0" t="s">
        <v>1561</v>
      </c>
      <c r="E264" s="0" t="s">
        <v>1562</v>
      </c>
      <c r="F264" s="0" t="n">
        <v>1</v>
      </c>
      <c r="G264" s="0" t="n">
        <v>1</v>
      </c>
      <c r="H264" s="0" t="n">
        <v>1</v>
      </c>
      <c r="I264" s="0" t="n">
        <v>80.91</v>
      </c>
      <c r="J264" s="0" t="n">
        <v>100</v>
      </c>
      <c r="K264" s="0" t="n">
        <v>80.91</v>
      </c>
      <c r="L264" s="0" t="n">
        <v>0.96</v>
      </c>
      <c r="M264" s="0" t="n">
        <v>0.99</v>
      </c>
      <c r="N264" s="0" t="n">
        <v>0.95</v>
      </c>
      <c r="O264" s="0" t="n">
        <v>4.17</v>
      </c>
      <c r="P264" s="0" t="n">
        <v>4.49</v>
      </c>
      <c r="Q264" s="0" t="n">
        <v>4.12</v>
      </c>
      <c r="R264" s="0" t="s">
        <v>1563</v>
      </c>
      <c r="S264" s="0" t="s">
        <v>27</v>
      </c>
      <c r="T264" s="0" t="s">
        <v>327</v>
      </c>
      <c r="U264" s="0" t="s">
        <v>28</v>
      </c>
      <c r="V264" s="0" t="n">
        <f aca="false">(I264/100 + O264/5) / 2</f>
        <v>0.82155</v>
      </c>
      <c r="W264" s="0" t="n">
        <f aca="false">(J264/100 + P264/5) / 2</f>
        <v>0.949</v>
      </c>
      <c r="X264" s="0" t="n">
        <f aca="false">(K264/100 + Q264/5) / 2</f>
        <v>0.81655</v>
      </c>
    </row>
    <row r="265" customFormat="false" ht="12.8" hidden="false" customHeight="false" outlineLevel="0" collapsed="false">
      <c r="A265" s="0" t="s">
        <v>1564</v>
      </c>
      <c r="B265" s="0" t="s">
        <v>1565</v>
      </c>
      <c r="C265" s="0" t="s">
        <v>1565</v>
      </c>
      <c r="D265" s="0" t="s">
        <v>1566</v>
      </c>
      <c r="E265" s="0" t="s">
        <v>1567</v>
      </c>
      <c r="F265" s="0" t="n">
        <v>1</v>
      </c>
      <c r="G265" s="0" t="n">
        <v>0</v>
      </c>
      <c r="H265" s="0" t="n">
        <v>1</v>
      </c>
      <c r="I265" s="0" t="n">
        <v>100</v>
      </c>
      <c r="J265" s="0" t="n">
        <v>27.52</v>
      </c>
      <c r="K265" s="0" t="n">
        <v>100</v>
      </c>
      <c r="L265" s="0" t="n">
        <v>0.99</v>
      </c>
      <c r="M265" s="0" t="n">
        <v>0.84</v>
      </c>
      <c r="N265" s="0" t="n">
        <v>0.99</v>
      </c>
      <c r="O265" s="0" t="n">
        <v>3.7</v>
      </c>
      <c r="P265" s="0" t="n">
        <v>3.05</v>
      </c>
      <c r="Q265" s="0" t="n">
        <v>3.7</v>
      </c>
      <c r="R265" s="0" t="s">
        <v>1568</v>
      </c>
      <c r="S265" s="0" t="s">
        <v>1569</v>
      </c>
      <c r="T265" s="0" t="s">
        <v>1570</v>
      </c>
      <c r="U265" s="0" t="s">
        <v>36</v>
      </c>
      <c r="V265" s="0" t="n">
        <f aca="false">(I265/100 + O265/5) / 2</f>
        <v>0.87</v>
      </c>
      <c r="W265" s="0" t="n">
        <f aca="false">(J265/100 + P265/5) / 2</f>
        <v>0.4426</v>
      </c>
      <c r="X265" s="0" t="n">
        <f aca="false">(K265/100 + Q265/5) / 2</f>
        <v>0.87</v>
      </c>
    </row>
    <row r="266" customFormat="false" ht="12.8" hidden="false" customHeight="false" outlineLevel="0" collapsed="false">
      <c r="A266" s="0" t="s">
        <v>1571</v>
      </c>
      <c r="B266" s="0" t="s">
        <v>1572</v>
      </c>
      <c r="C266" s="0" t="s">
        <v>1573</v>
      </c>
      <c r="D266" s="0" t="s">
        <v>1574</v>
      </c>
      <c r="E266" s="0" t="s">
        <v>1575</v>
      </c>
      <c r="F266" s="0" t="n">
        <v>1</v>
      </c>
      <c r="G266" s="0" t="n">
        <v>1</v>
      </c>
      <c r="H266" s="0" t="n">
        <v>1</v>
      </c>
      <c r="I266" s="0" t="n">
        <v>75.98</v>
      </c>
      <c r="J266" s="0" t="n">
        <v>75.98</v>
      </c>
      <c r="K266" s="0" t="n">
        <v>100</v>
      </c>
      <c r="L266" s="0" t="n">
        <v>0.95</v>
      </c>
      <c r="M266" s="0" t="n">
        <v>0.95</v>
      </c>
      <c r="N266" s="0" t="n">
        <v>0.98</v>
      </c>
      <c r="O266" s="0" t="n">
        <v>4.07</v>
      </c>
      <c r="P266" s="0" t="n">
        <v>4.07</v>
      </c>
      <c r="Q266" s="0" t="n">
        <v>4.38</v>
      </c>
      <c r="R266" s="0" t="s">
        <v>1576</v>
      </c>
      <c r="S266" s="0" t="s">
        <v>92</v>
      </c>
      <c r="T266" s="0" t="s">
        <v>187</v>
      </c>
      <c r="U266" s="0" t="s">
        <v>28</v>
      </c>
      <c r="V266" s="0" t="n">
        <f aca="false">(I266/100 + O266/5) / 2</f>
        <v>0.7869</v>
      </c>
      <c r="W266" s="0" t="n">
        <f aca="false">(J266/100 + P266/5) / 2</f>
        <v>0.7869</v>
      </c>
      <c r="X266" s="0" t="n">
        <f aca="false">(K266/100 + Q266/5) / 2</f>
        <v>0.938</v>
      </c>
    </row>
    <row r="267" customFormat="false" ht="12.8" hidden="false" customHeight="false" outlineLevel="0" collapsed="false">
      <c r="A267" s="0" t="s">
        <v>1577</v>
      </c>
      <c r="B267" s="0" t="s">
        <v>1578</v>
      </c>
      <c r="C267" s="0" t="s">
        <v>1579</v>
      </c>
      <c r="D267" s="0" t="s">
        <v>1580</v>
      </c>
      <c r="E267" s="0" t="s">
        <v>1581</v>
      </c>
      <c r="F267" s="0" t="n">
        <v>1</v>
      </c>
      <c r="G267" s="0" t="n">
        <v>0</v>
      </c>
      <c r="H267" s="0" t="n">
        <v>1</v>
      </c>
      <c r="I267" s="0" t="n">
        <v>59.69</v>
      </c>
      <c r="J267" s="0" t="n">
        <v>66.06</v>
      </c>
      <c r="K267" s="0" t="n">
        <v>26.08</v>
      </c>
      <c r="L267" s="0" t="n">
        <v>0.91</v>
      </c>
      <c r="M267" s="0" t="n">
        <v>0.91</v>
      </c>
      <c r="N267" s="0" t="n">
        <v>0.89</v>
      </c>
      <c r="O267" s="0" t="n">
        <v>4.72</v>
      </c>
      <c r="P267" s="0" t="n">
        <v>4.76</v>
      </c>
      <c r="Q267" s="0" t="n">
        <v>4.69</v>
      </c>
      <c r="R267" s="0" t="s">
        <v>1582</v>
      </c>
      <c r="S267" s="0" t="s">
        <v>1583</v>
      </c>
      <c r="T267" s="0" t="s">
        <v>1584</v>
      </c>
      <c r="U267" s="0" t="s">
        <v>28</v>
      </c>
      <c r="V267" s="0" t="n">
        <f aca="false">(I267/100 + O267/5) / 2</f>
        <v>0.77045</v>
      </c>
      <c r="W267" s="0" t="n">
        <f aca="false">(J267/100 + P267/5) / 2</f>
        <v>0.8063</v>
      </c>
      <c r="X267" s="0" t="n">
        <f aca="false">(K267/100 + Q267/5) / 2</f>
        <v>0.5994</v>
      </c>
    </row>
    <row r="268" customFormat="false" ht="12.8" hidden="false" customHeight="false" outlineLevel="0" collapsed="false">
      <c r="A268" s="0" t="s">
        <v>1585</v>
      </c>
      <c r="B268" s="0" t="s">
        <v>1586</v>
      </c>
      <c r="C268" s="0" t="s">
        <v>1587</v>
      </c>
      <c r="D268" s="0" t="s">
        <v>1588</v>
      </c>
      <c r="E268" s="0" t="s">
        <v>1589</v>
      </c>
      <c r="F268" s="0" t="n">
        <v>1</v>
      </c>
      <c r="G268" s="0" t="n">
        <v>1</v>
      </c>
      <c r="H268" s="0" t="n">
        <v>1</v>
      </c>
      <c r="I268" s="0" t="n">
        <v>70.17</v>
      </c>
      <c r="J268" s="0" t="n">
        <v>70.17</v>
      </c>
      <c r="K268" s="0" t="n">
        <v>57.07</v>
      </c>
      <c r="L268" s="0" t="n">
        <v>0.95</v>
      </c>
      <c r="M268" s="0" t="n">
        <v>0.95</v>
      </c>
      <c r="N268" s="0" t="n">
        <v>0.93</v>
      </c>
      <c r="O268" s="0" t="n">
        <v>4.95</v>
      </c>
      <c r="P268" s="0" t="n">
        <v>4.95</v>
      </c>
      <c r="Q268" s="0" t="n">
        <v>4.76</v>
      </c>
      <c r="R268" s="0" t="s">
        <v>1590</v>
      </c>
      <c r="S268" s="0" t="s">
        <v>26</v>
      </c>
      <c r="T268" s="0" t="s">
        <v>27</v>
      </c>
      <c r="U268" s="0" t="s">
        <v>28</v>
      </c>
      <c r="V268" s="0" t="n">
        <f aca="false">(I268/100 + O268/5) / 2</f>
        <v>0.84585</v>
      </c>
      <c r="W268" s="0" t="n">
        <f aca="false">(J268/100 + P268/5) / 2</f>
        <v>0.84585</v>
      </c>
      <c r="X268" s="0" t="n">
        <f aca="false">(K268/100 + Q268/5) / 2</f>
        <v>0.76135</v>
      </c>
    </row>
    <row r="269" customFormat="false" ht="12.8" hidden="false" customHeight="false" outlineLevel="0" collapsed="false">
      <c r="A269" s="0" t="s">
        <v>1591</v>
      </c>
      <c r="B269" s="0" t="s">
        <v>1592</v>
      </c>
      <c r="C269" s="0" t="s">
        <v>1593</v>
      </c>
      <c r="D269" s="0" t="s">
        <v>1594</v>
      </c>
      <c r="E269" s="0" t="s">
        <v>1595</v>
      </c>
      <c r="F269" s="0" t="n">
        <v>1</v>
      </c>
      <c r="G269" s="0" t="n">
        <v>1</v>
      </c>
      <c r="H269" s="0" t="n">
        <v>1</v>
      </c>
      <c r="I269" s="0" t="n">
        <v>84.24</v>
      </c>
      <c r="J269" s="0" t="n">
        <v>61.15</v>
      </c>
      <c r="K269" s="0" t="n">
        <v>64.5</v>
      </c>
      <c r="L269" s="0" t="n">
        <v>0.94</v>
      </c>
      <c r="M269" s="0" t="n">
        <v>0.81</v>
      </c>
      <c r="N269" s="0" t="n">
        <v>0.93</v>
      </c>
      <c r="O269" s="0" t="n">
        <v>4.7</v>
      </c>
      <c r="P269" s="0" t="n">
        <v>4.56</v>
      </c>
      <c r="Q269" s="0" t="n">
        <v>4.58</v>
      </c>
      <c r="R269" s="0" t="s">
        <v>1596</v>
      </c>
      <c r="S269" s="0" t="s">
        <v>91</v>
      </c>
      <c r="T269" s="0" t="s">
        <v>92</v>
      </c>
      <c r="U269" s="0" t="s">
        <v>93</v>
      </c>
      <c r="V269" s="0" t="n">
        <f aca="false">(I269/100 + O269/5) / 2</f>
        <v>0.8912</v>
      </c>
      <c r="W269" s="0" t="n">
        <f aca="false">(J269/100 + P269/5) / 2</f>
        <v>0.76175</v>
      </c>
      <c r="X269" s="0" t="n">
        <f aca="false">(K269/100 + Q269/5) / 2</f>
        <v>0.7805</v>
      </c>
    </row>
    <row r="270" customFormat="false" ht="12.8" hidden="false" customHeight="false" outlineLevel="0" collapsed="false">
      <c r="A270" s="0" t="s">
        <v>1597</v>
      </c>
      <c r="B270" s="0" t="s">
        <v>1598</v>
      </c>
      <c r="C270" s="0" t="s">
        <v>1599</v>
      </c>
      <c r="D270" s="0" t="s">
        <v>1600</v>
      </c>
      <c r="E270" s="0" t="s">
        <v>1601</v>
      </c>
      <c r="F270" s="0" t="n">
        <v>1</v>
      </c>
      <c r="G270" s="0" t="n">
        <v>0</v>
      </c>
      <c r="H270" s="0" t="n">
        <v>1</v>
      </c>
      <c r="I270" s="0" t="n">
        <v>70.71</v>
      </c>
      <c r="J270" s="0" t="n">
        <v>66.06</v>
      </c>
      <c r="K270" s="0" t="n">
        <v>23.34</v>
      </c>
      <c r="L270" s="0" t="n">
        <v>0.96</v>
      </c>
      <c r="M270" s="0" t="n">
        <v>0.6</v>
      </c>
      <c r="N270" s="0" t="n">
        <v>0.93</v>
      </c>
      <c r="O270" s="0" t="n">
        <v>4.56</v>
      </c>
      <c r="P270" s="0" t="n">
        <v>4.08</v>
      </c>
      <c r="Q270" s="0" t="n">
        <v>4.49</v>
      </c>
      <c r="R270" s="0" t="s">
        <v>1602</v>
      </c>
      <c r="S270" s="0" t="s">
        <v>1603</v>
      </c>
      <c r="T270" s="0" t="s">
        <v>1604</v>
      </c>
      <c r="U270" s="0" t="s">
        <v>28</v>
      </c>
      <c r="V270" s="0" t="n">
        <f aca="false">(I270/100 + O270/5) / 2</f>
        <v>0.80955</v>
      </c>
      <c r="W270" s="0" t="n">
        <f aca="false">(J270/100 + P270/5) / 2</f>
        <v>0.7383</v>
      </c>
      <c r="X270" s="0" t="n">
        <f aca="false">(K270/100 + Q270/5) / 2</f>
        <v>0.5657</v>
      </c>
    </row>
    <row r="271" customFormat="false" ht="12.8" hidden="false" customHeight="false" outlineLevel="0" collapsed="false">
      <c r="A271" s="0" t="s">
        <v>1605</v>
      </c>
      <c r="B271" s="0" t="s">
        <v>1606</v>
      </c>
      <c r="C271" s="0" t="s">
        <v>1607</v>
      </c>
      <c r="D271" s="0" t="s">
        <v>1608</v>
      </c>
      <c r="E271" s="0" t="s">
        <v>1609</v>
      </c>
      <c r="F271" s="0" t="n">
        <v>0</v>
      </c>
      <c r="G271" s="0" t="n">
        <v>1</v>
      </c>
      <c r="H271" s="0" t="n">
        <v>1</v>
      </c>
      <c r="I271" s="0" t="n">
        <v>58.14</v>
      </c>
      <c r="J271" s="0" t="n">
        <v>30.35</v>
      </c>
      <c r="K271" s="0" t="n">
        <v>53.73</v>
      </c>
      <c r="L271" s="0" t="n">
        <v>0.9</v>
      </c>
      <c r="M271" s="0" t="n">
        <v>0.95</v>
      </c>
      <c r="N271" s="0" t="n">
        <v>0.92</v>
      </c>
      <c r="O271" s="0" t="n">
        <v>4.49</v>
      </c>
      <c r="P271" s="0" t="n">
        <v>4.46</v>
      </c>
      <c r="Q271" s="0" t="n">
        <v>4.06</v>
      </c>
      <c r="R271" s="0" t="s">
        <v>1610</v>
      </c>
      <c r="S271" s="0" t="s">
        <v>1611</v>
      </c>
      <c r="T271" s="0" t="s">
        <v>1612</v>
      </c>
      <c r="U271" s="0" t="s">
        <v>28</v>
      </c>
      <c r="V271" s="0" t="n">
        <f aca="false">(I271/100 + O271/5) / 2</f>
        <v>0.7397</v>
      </c>
      <c r="W271" s="0" t="n">
        <f aca="false">(J271/100 + P271/5) / 2</f>
        <v>0.59775</v>
      </c>
      <c r="X271" s="0" t="n">
        <f aca="false">(K271/100 + Q271/5) / 2</f>
        <v>0.67465</v>
      </c>
    </row>
    <row r="272" customFormat="false" ht="12.8" hidden="false" customHeight="false" outlineLevel="0" collapsed="false">
      <c r="A272" s="0" t="s">
        <v>1613</v>
      </c>
      <c r="B272" s="0" t="s">
        <v>1614</v>
      </c>
      <c r="C272" s="0" t="s">
        <v>1615</v>
      </c>
      <c r="D272" s="0" t="s">
        <v>1616</v>
      </c>
      <c r="E272" s="0" t="s">
        <v>1617</v>
      </c>
      <c r="F272" s="0" t="n">
        <v>1</v>
      </c>
      <c r="G272" s="0" t="n">
        <v>1</v>
      </c>
      <c r="H272" s="0" t="n">
        <v>1</v>
      </c>
      <c r="I272" s="0" t="n">
        <v>37.99</v>
      </c>
      <c r="J272" s="0" t="n">
        <v>10.68</v>
      </c>
      <c r="K272" s="0" t="n">
        <v>9.65</v>
      </c>
      <c r="L272" s="0" t="n">
        <v>0.94</v>
      </c>
      <c r="M272" s="0" t="n">
        <v>0.68</v>
      </c>
      <c r="N272" s="0" t="n">
        <v>0.71</v>
      </c>
      <c r="O272" s="0" t="n">
        <v>4.68</v>
      </c>
      <c r="P272" s="0" t="n">
        <v>4.59</v>
      </c>
      <c r="Q272" s="0" t="n">
        <v>3.66</v>
      </c>
      <c r="R272" s="0" t="s">
        <v>816</v>
      </c>
      <c r="S272" s="0" t="s">
        <v>1618</v>
      </c>
      <c r="T272" s="0" t="s">
        <v>1619</v>
      </c>
      <c r="U272" s="0" t="s">
        <v>93</v>
      </c>
      <c r="V272" s="0" t="n">
        <f aca="false">(I272/100 + O272/5) / 2</f>
        <v>0.65795</v>
      </c>
      <c r="W272" s="0" t="n">
        <f aca="false">(J272/100 + P272/5) / 2</f>
        <v>0.5124</v>
      </c>
      <c r="X272" s="0" t="n">
        <f aca="false">(K272/100 + Q272/5) / 2</f>
        <v>0.41425</v>
      </c>
    </row>
    <row r="273" customFormat="false" ht="12.8" hidden="false" customHeight="false" outlineLevel="0" collapsed="false">
      <c r="A273" s="0" t="s">
        <v>1620</v>
      </c>
      <c r="B273" s="0" t="s">
        <v>1621</v>
      </c>
      <c r="C273" s="0" t="s">
        <v>1621</v>
      </c>
      <c r="D273" s="0" t="s">
        <v>1622</v>
      </c>
      <c r="E273" s="0" t="s">
        <v>1622</v>
      </c>
      <c r="F273" s="0" t="n">
        <v>1</v>
      </c>
      <c r="G273" s="0" t="n">
        <v>1</v>
      </c>
      <c r="H273" s="0" t="n">
        <v>1</v>
      </c>
      <c r="I273" s="0" t="n">
        <v>100</v>
      </c>
      <c r="J273" s="0" t="n">
        <v>100</v>
      </c>
      <c r="K273" s="0" t="n">
        <v>100</v>
      </c>
      <c r="L273" s="0" t="n">
        <v>0.99</v>
      </c>
      <c r="M273" s="0" t="n">
        <v>0.99</v>
      </c>
      <c r="N273" s="0" t="n">
        <v>0.99</v>
      </c>
      <c r="O273" s="0" t="n">
        <v>3.89</v>
      </c>
      <c r="P273" s="0" t="n">
        <v>3.89</v>
      </c>
      <c r="Q273" s="0" t="n">
        <v>3.89</v>
      </c>
      <c r="R273" s="0" t="s">
        <v>26</v>
      </c>
      <c r="S273" s="0" t="s">
        <v>26</v>
      </c>
      <c r="T273" s="0" t="s">
        <v>26</v>
      </c>
      <c r="U273" s="0" t="s">
        <v>54</v>
      </c>
      <c r="V273" s="0" t="n">
        <f aca="false">(I273/100 + O273/5) / 2</f>
        <v>0.889</v>
      </c>
      <c r="W273" s="0" t="n">
        <f aca="false">(J273/100 + P273/5) / 2</f>
        <v>0.889</v>
      </c>
      <c r="X273" s="0" t="n">
        <f aca="false">(K273/100 + Q273/5) / 2</f>
        <v>0.889</v>
      </c>
    </row>
    <row r="274" customFormat="false" ht="12.8" hidden="false" customHeight="false" outlineLevel="0" collapsed="false">
      <c r="A274" s="0" t="s">
        <v>1623</v>
      </c>
      <c r="B274" s="0" t="s">
        <v>1624</v>
      </c>
      <c r="C274" s="0" t="s">
        <v>1625</v>
      </c>
      <c r="D274" s="0" t="s">
        <v>1626</v>
      </c>
      <c r="E274" s="0" t="s">
        <v>1627</v>
      </c>
      <c r="F274" s="0" t="n">
        <v>0</v>
      </c>
      <c r="G274" s="0" t="n">
        <v>1</v>
      </c>
      <c r="H274" s="0" t="n">
        <v>0</v>
      </c>
      <c r="I274" s="0" t="n">
        <v>66.87</v>
      </c>
      <c r="J274" s="0" t="n">
        <v>100</v>
      </c>
      <c r="K274" s="0" t="n">
        <v>66.87</v>
      </c>
      <c r="L274" s="0" t="n">
        <v>0.83</v>
      </c>
      <c r="M274" s="0" t="n">
        <v>0.99</v>
      </c>
      <c r="N274" s="0" t="n">
        <v>0.94</v>
      </c>
      <c r="O274" s="0" t="n">
        <v>3.52</v>
      </c>
      <c r="P274" s="0" t="n">
        <v>4.55</v>
      </c>
      <c r="Q274" s="0" t="n">
        <v>4.37</v>
      </c>
      <c r="R274" s="0" t="s">
        <v>397</v>
      </c>
      <c r="S274" s="0" t="s">
        <v>1628</v>
      </c>
      <c r="T274" s="0" t="s">
        <v>1629</v>
      </c>
      <c r="U274" s="0" t="s">
        <v>36</v>
      </c>
      <c r="V274" s="0" t="n">
        <f aca="false">(I274/100 + O274/5) / 2</f>
        <v>0.68635</v>
      </c>
      <c r="W274" s="0" t="n">
        <f aca="false">(J274/100 + P274/5) / 2</f>
        <v>0.955</v>
      </c>
      <c r="X274" s="0" t="n">
        <f aca="false">(K274/100 + Q274/5) / 2</f>
        <v>0.77135</v>
      </c>
    </row>
    <row r="275" customFormat="false" ht="12.8" hidden="false" customHeight="false" outlineLevel="0" collapsed="false">
      <c r="A275" s="0" t="s">
        <v>1630</v>
      </c>
      <c r="B275" s="0" t="s">
        <v>1631</v>
      </c>
      <c r="C275" s="0" t="s">
        <v>1632</v>
      </c>
      <c r="D275" s="0" t="s">
        <v>1633</v>
      </c>
      <c r="E275" s="0" t="s">
        <v>1634</v>
      </c>
      <c r="F275" s="0" t="n">
        <v>0</v>
      </c>
      <c r="G275" s="0" t="n">
        <v>0</v>
      </c>
      <c r="H275" s="0" t="n">
        <v>0</v>
      </c>
      <c r="I275" s="0" t="n">
        <v>30.21</v>
      </c>
      <c r="J275" s="0" t="n">
        <v>35.36</v>
      </c>
      <c r="K275" s="0" t="n">
        <v>35.36</v>
      </c>
      <c r="L275" s="0" t="n">
        <v>0.88</v>
      </c>
      <c r="M275" s="0" t="n">
        <v>0.97</v>
      </c>
      <c r="N275" s="0" t="n">
        <v>0.88</v>
      </c>
      <c r="O275" s="0" t="n">
        <v>3.07</v>
      </c>
      <c r="P275" s="0" t="n">
        <v>3.45</v>
      </c>
      <c r="Q275" s="0" t="n">
        <v>3.88</v>
      </c>
      <c r="R275" s="0" t="s">
        <v>378</v>
      </c>
      <c r="S275" s="0" t="s">
        <v>378</v>
      </c>
      <c r="T275" s="0" t="s">
        <v>378</v>
      </c>
      <c r="U275" s="0" t="s">
        <v>54</v>
      </c>
      <c r="V275" s="0" t="n">
        <f aca="false">(I275/100 + O275/5) / 2</f>
        <v>0.45805</v>
      </c>
      <c r="W275" s="0" t="n">
        <f aca="false">(J275/100 + P275/5) / 2</f>
        <v>0.5218</v>
      </c>
      <c r="X275" s="0" t="n">
        <f aca="false">(K275/100 + Q275/5) / 2</f>
        <v>0.5648</v>
      </c>
    </row>
    <row r="276" customFormat="false" ht="12.8" hidden="false" customHeight="false" outlineLevel="0" collapsed="false">
      <c r="A276" s="0" t="s">
        <v>1635</v>
      </c>
      <c r="B276" s="0" t="s">
        <v>1636</v>
      </c>
      <c r="C276" s="0" t="s">
        <v>1636</v>
      </c>
      <c r="D276" s="0" t="s">
        <v>1637</v>
      </c>
      <c r="E276" s="0" t="s">
        <v>1637</v>
      </c>
      <c r="F276" s="0" t="n">
        <v>1</v>
      </c>
      <c r="G276" s="0" t="n">
        <v>1</v>
      </c>
      <c r="H276" s="0" t="n">
        <v>1</v>
      </c>
      <c r="I276" s="0" t="n">
        <v>100</v>
      </c>
      <c r="J276" s="0" t="n">
        <v>100</v>
      </c>
      <c r="K276" s="0" t="n">
        <v>100</v>
      </c>
      <c r="L276" s="0" t="n">
        <v>0.99</v>
      </c>
      <c r="M276" s="0" t="n">
        <v>0.99</v>
      </c>
      <c r="N276" s="0" t="n">
        <v>0.99</v>
      </c>
      <c r="O276" s="0" t="n">
        <v>4.4</v>
      </c>
      <c r="P276" s="0" t="n">
        <v>4.4</v>
      </c>
      <c r="Q276" s="0" t="n">
        <v>4.4</v>
      </c>
      <c r="R276" s="0" t="s">
        <v>26</v>
      </c>
      <c r="S276" s="0" t="s">
        <v>26</v>
      </c>
      <c r="T276" s="0" t="s">
        <v>26</v>
      </c>
      <c r="U276" s="0" t="s">
        <v>54</v>
      </c>
      <c r="V276" s="0" t="n">
        <f aca="false">(I276/100 + O276/5) / 2</f>
        <v>0.94</v>
      </c>
      <c r="W276" s="0" t="n">
        <f aca="false">(J276/100 + P276/5) / 2</f>
        <v>0.94</v>
      </c>
      <c r="X276" s="0" t="n">
        <f aca="false">(K276/100 + Q276/5) / 2</f>
        <v>0.94</v>
      </c>
    </row>
    <row r="277" customFormat="false" ht="12.8" hidden="false" customHeight="false" outlineLevel="0" collapsed="false">
      <c r="A277" s="0" t="s">
        <v>1638</v>
      </c>
      <c r="B277" s="0" t="s">
        <v>1639</v>
      </c>
      <c r="C277" s="0" t="s">
        <v>1640</v>
      </c>
      <c r="D277" s="0" t="s">
        <v>1641</v>
      </c>
      <c r="E277" s="0" t="s">
        <v>1642</v>
      </c>
      <c r="F277" s="0" t="n">
        <v>1</v>
      </c>
      <c r="G277" s="0" t="n">
        <v>1</v>
      </c>
      <c r="H277" s="0" t="n">
        <v>1</v>
      </c>
      <c r="I277" s="0" t="n">
        <v>66.52</v>
      </c>
      <c r="J277" s="0" t="n">
        <v>75.39</v>
      </c>
      <c r="K277" s="0" t="n">
        <v>30.66</v>
      </c>
      <c r="L277" s="0" t="n">
        <v>0.95</v>
      </c>
      <c r="M277" s="0" t="n">
        <v>0.97</v>
      </c>
      <c r="N277" s="0" t="n">
        <v>0.92</v>
      </c>
      <c r="O277" s="0" t="n">
        <v>4.87</v>
      </c>
      <c r="P277" s="0" t="n">
        <v>5</v>
      </c>
      <c r="Q277" s="0" t="n">
        <v>4.77</v>
      </c>
      <c r="R277" s="0" t="s">
        <v>1643</v>
      </c>
      <c r="S277" s="0" t="s">
        <v>27</v>
      </c>
      <c r="T277" s="0" t="s">
        <v>27</v>
      </c>
      <c r="U277" s="0" t="s">
        <v>93</v>
      </c>
      <c r="V277" s="0" t="n">
        <f aca="false">(I277/100 + O277/5) / 2</f>
        <v>0.8196</v>
      </c>
      <c r="W277" s="0" t="n">
        <f aca="false">(J277/100 + P277/5) / 2</f>
        <v>0.87695</v>
      </c>
      <c r="X277" s="0" t="n">
        <f aca="false">(K277/100 + Q277/5) / 2</f>
        <v>0.6303</v>
      </c>
    </row>
    <row r="278" customFormat="false" ht="12.8" hidden="false" customHeight="false" outlineLevel="0" collapsed="false">
      <c r="A278" s="0" t="s">
        <v>1644</v>
      </c>
      <c r="B278" s="0" t="s">
        <v>1645</v>
      </c>
      <c r="C278" s="0" t="s">
        <v>1646</v>
      </c>
      <c r="D278" s="0" t="s">
        <v>1647</v>
      </c>
      <c r="E278" s="0" t="s">
        <v>1648</v>
      </c>
      <c r="F278" s="0" t="n">
        <v>1</v>
      </c>
      <c r="G278" s="0" t="n">
        <v>1</v>
      </c>
      <c r="H278" s="0" t="n">
        <v>0</v>
      </c>
      <c r="I278" s="0" t="n">
        <v>52.54</v>
      </c>
      <c r="J278" s="0" t="n">
        <v>52.54</v>
      </c>
      <c r="K278" s="0" t="n">
        <v>46.2</v>
      </c>
      <c r="L278" s="0" t="n">
        <v>0.89</v>
      </c>
      <c r="M278" s="0" t="n">
        <v>0.9</v>
      </c>
      <c r="N278" s="0" t="n">
        <v>0.83</v>
      </c>
      <c r="O278" s="0" t="n">
        <v>4.56</v>
      </c>
      <c r="P278" s="0" t="n">
        <v>4.57</v>
      </c>
      <c r="Q278" s="0" t="n">
        <v>4.18</v>
      </c>
      <c r="R278" s="0" t="s">
        <v>1649</v>
      </c>
      <c r="S278" s="0" t="s">
        <v>1650</v>
      </c>
      <c r="T278" s="0" t="s">
        <v>1651</v>
      </c>
      <c r="U278" s="0" t="s">
        <v>36</v>
      </c>
      <c r="V278" s="0" t="n">
        <f aca="false">(I278/100 + O278/5) / 2</f>
        <v>0.7187</v>
      </c>
      <c r="W278" s="0" t="n">
        <f aca="false">(J278/100 + P278/5) / 2</f>
        <v>0.7197</v>
      </c>
      <c r="X278" s="0" t="n">
        <f aca="false">(K278/100 + Q278/5) / 2</f>
        <v>0.649</v>
      </c>
    </row>
    <row r="279" customFormat="false" ht="12.8" hidden="false" customHeight="false" outlineLevel="0" collapsed="false">
      <c r="A279" s="0" t="s">
        <v>1652</v>
      </c>
      <c r="B279" s="0" t="s">
        <v>1653</v>
      </c>
      <c r="C279" s="0" t="s">
        <v>1653</v>
      </c>
      <c r="D279" s="0" t="s">
        <v>1654</v>
      </c>
      <c r="E279" s="0" t="s">
        <v>1655</v>
      </c>
      <c r="F279" s="0" t="n">
        <v>1</v>
      </c>
      <c r="G279" s="0" t="n">
        <v>1</v>
      </c>
      <c r="H279" s="0" t="n">
        <v>1</v>
      </c>
      <c r="I279" s="0" t="n">
        <v>100</v>
      </c>
      <c r="J279" s="0" t="n">
        <v>51.33</v>
      </c>
      <c r="K279" s="0" t="n">
        <v>20.56</v>
      </c>
      <c r="L279" s="0" t="n">
        <v>0.98</v>
      </c>
      <c r="M279" s="0" t="n">
        <v>0.95</v>
      </c>
      <c r="N279" s="0" t="n">
        <v>0.9</v>
      </c>
      <c r="O279" s="0" t="n">
        <v>4.89</v>
      </c>
      <c r="P279" s="0" t="n">
        <v>4.89</v>
      </c>
      <c r="Q279" s="0" t="n">
        <v>4.7</v>
      </c>
      <c r="R279" s="0" t="s">
        <v>1656</v>
      </c>
      <c r="S279" s="0" t="s">
        <v>187</v>
      </c>
      <c r="T279" s="0" t="s">
        <v>27</v>
      </c>
      <c r="U279" s="0" t="s">
        <v>93</v>
      </c>
      <c r="V279" s="0" t="n">
        <f aca="false">(I279/100 + O279/5) / 2</f>
        <v>0.989</v>
      </c>
      <c r="W279" s="0" t="n">
        <f aca="false">(J279/100 + P279/5) / 2</f>
        <v>0.74565</v>
      </c>
      <c r="X279" s="0" t="n">
        <f aca="false">(K279/100 + Q279/5) / 2</f>
        <v>0.5728</v>
      </c>
    </row>
    <row r="280" customFormat="false" ht="12.8" hidden="false" customHeight="false" outlineLevel="0" collapsed="false">
      <c r="A280" s="0" t="s">
        <v>1657</v>
      </c>
      <c r="B280" s="0" t="s">
        <v>1658</v>
      </c>
      <c r="C280" s="0" t="s">
        <v>1659</v>
      </c>
      <c r="D280" s="0" t="s">
        <v>1660</v>
      </c>
      <c r="E280" s="0" t="s">
        <v>1661</v>
      </c>
      <c r="F280" s="0" t="n">
        <v>1</v>
      </c>
      <c r="G280" s="0" t="n">
        <v>0</v>
      </c>
      <c r="H280" s="0" t="n">
        <v>1</v>
      </c>
      <c r="I280" s="0" t="n">
        <v>69.89</v>
      </c>
      <c r="J280" s="0" t="n">
        <v>37.7</v>
      </c>
      <c r="K280" s="0" t="n">
        <v>38.66</v>
      </c>
      <c r="L280" s="0" t="n">
        <v>0.83</v>
      </c>
      <c r="M280" s="0" t="n">
        <v>0.78</v>
      </c>
      <c r="N280" s="0" t="n">
        <v>0.77</v>
      </c>
      <c r="O280" s="0" t="n">
        <v>4.49</v>
      </c>
      <c r="P280" s="0" t="n">
        <v>4.4</v>
      </c>
      <c r="Q280" s="0" t="n">
        <v>4.51</v>
      </c>
      <c r="R280" s="0" t="s">
        <v>1662</v>
      </c>
      <c r="S280" s="0" t="s">
        <v>486</v>
      </c>
      <c r="T280" s="0" t="s">
        <v>1663</v>
      </c>
      <c r="U280" s="0" t="s">
        <v>36</v>
      </c>
      <c r="V280" s="0" t="n">
        <f aca="false">(I280/100 + O280/5) / 2</f>
        <v>0.79845</v>
      </c>
      <c r="W280" s="0" t="n">
        <f aca="false">(J280/100 + P280/5) / 2</f>
        <v>0.6285</v>
      </c>
      <c r="X280" s="0" t="n">
        <f aca="false">(K280/100 + Q280/5) / 2</f>
        <v>0.6443</v>
      </c>
    </row>
    <row r="281" customFormat="false" ht="12.8" hidden="false" customHeight="false" outlineLevel="0" collapsed="false">
      <c r="A281" s="0" t="s">
        <v>1664</v>
      </c>
      <c r="B281" s="0" t="s">
        <v>1665</v>
      </c>
      <c r="C281" s="0" t="s">
        <v>1666</v>
      </c>
      <c r="D281" s="0" t="s">
        <v>1667</v>
      </c>
      <c r="E281" s="0" t="s">
        <v>1668</v>
      </c>
      <c r="F281" s="0" t="n">
        <v>0</v>
      </c>
      <c r="G281" s="0" t="n">
        <v>0</v>
      </c>
      <c r="H281" s="0" t="n">
        <v>0</v>
      </c>
      <c r="I281" s="0" t="n">
        <v>45.18</v>
      </c>
      <c r="J281" s="0" t="n">
        <v>75.98</v>
      </c>
      <c r="K281" s="0" t="n">
        <v>45.18</v>
      </c>
      <c r="L281" s="0" t="n">
        <v>0.88</v>
      </c>
      <c r="M281" s="0" t="n">
        <v>0.86</v>
      </c>
      <c r="N281" s="0" t="n">
        <v>0.85</v>
      </c>
      <c r="O281" s="0" t="n">
        <v>4.35</v>
      </c>
      <c r="P281" s="0" t="n">
        <v>4.27</v>
      </c>
      <c r="Q281" s="0" t="n">
        <v>4.2</v>
      </c>
      <c r="R281" s="0" t="s">
        <v>378</v>
      </c>
      <c r="S281" s="0" t="s">
        <v>378</v>
      </c>
      <c r="T281" s="0" t="s">
        <v>378</v>
      </c>
      <c r="U281" s="0" t="s">
        <v>54</v>
      </c>
      <c r="V281" s="0" t="n">
        <f aca="false">(I281/100 + O281/5) / 2</f>
        <v>0.6609</v>
      </c>
      <c r="W281" s="0" t="n">
        <f aca="false">(J281/100 + P281/5) / 2</f>
        <v>0.8069</v>
      </c>
      <c r="X281" s="0" t="n">
        <f aca="false">(K281/100 + Q281/5) / 2</f>
        <v>0.6459</v>
      </c>
    </row>
    <row r="282" customFormat="false" ht="12.8" hidden="false" customHeight="false" outlineLevel="0" collapsed="false">
      <c r="A282" s="0" t="s">
        <v>1669</v>
      </c>
      <c r="B282" s="0" t="s">
        <v>1670</v>
      </c>
      <c r="C282" s="0" t="s">
        <v>1671</v>
      </c>
      <c r="D282" s="0" t="s">
        <v>1672</v>
      </c>
      <c r="E282" s="0" t="s">
        <v>1673</v>
      </c>
      <c r="F282" s="0" t="n">
        <v>1</v>
      </c>
      <c r="G282" s="0" t="n">
        <v>1</v>
      </c>
      <c r="H282" s="0" t="n">
        <v>1</v>
      </c>
      <c r="I282" s="0" t="n">
        <v>16.1</v>
      </c>
      <c r="J282" s="0" t="n">
        <v>15.62</v>
      </c>
      <c r="K282" s="0" t="n">
        <v>24.45</v>
      </c>
      <c r="L282" s="0" t="n">
        <v>0.79</v>
      </c>
      <c r="M282" s="0" t="n">
        <v>0.5</v>
      </c>
      <c r="N282" s="0" t="n">
        <v>0.82</v>
      </c>
      <c r="O282" s="0" t="n">
        <v>4.43</v>
      </c>
      <c r="P282" s="0" t="n">
        <v>4.02</v>
      </c>
      <c r="Q282" s="0" t="n">
        <v>4.25</v>
      </c>
      <c r="R282" s="0" t="s">
        <v>1674</v>
      </c>
      <c r="S282" s="0" t="s">
        <v>1675</v>
      </c>
      <c r="T282" s="0" t="s">
        <v>286</v>
      </c>
      <c r="U282" s="0" t="s">
        <v>93</v>
      </c>
      <c r="V282" s="0" t="n">
        <f aca="false">(I282/100 + O282/5) / 2</f>
        <v>0.5235</v>
      </c>
      <c r="W282" s="0" t="n">
        <f aca="false">(J282/100 + P282/5) / 2</f>
        <v>0.4801</v>
      </c>
      <c r="X282" s="0" t="n">
        <f aca="false">(K282/100 + Q282/5) / 2</f>
        <v>0.54725</v>
      </c>
    </row>
    <row r="283" customFormat="false" ht="12.8" hidden="false" customHeight="false" outlineLevel="0" collapsed="false">
      <c r="A283" s="0" t="s">
        <v>1676</v>
      </c>
      <c r="B283" s="0" t="s">
        <v>1677</v>
      </c>
      <c r="C283" s="0" t="s">
        <v>1678</v>
      </c>
      <c r="D283" s="0" t="s">
        <v>1679</v>
      </c>
      <c r="E283" s="0" t="s">
        <v>1680</v>
      </c>
      <c r="F283" s="0" t="n">
        <v>1</v>
      </c>
      <c r="G283" s="0" t="n">
        <v>1</v>
      </c>
      <c r="H283" s="0" t="n">
        <v>1</v>
      </c>
      <c r="I283" s="0" t="n">
        <v>59.69</v>
      </c>
      <c r="J283" s="0" t="n">
        <v>59.69</v>
      </c>
      <c r="K283" s="0" t="n">
        <v>61.02</v>
      </c>
      <c r="L283" s="0" t="n">
        <v>0.94</v>
      </c>
      <c r="M283" s="0" t="n">
        <v>0.94</v>
      </c>
      <c r="N283" s="0" t="n">
        <v>0.94</v>
      </c>
      <c r="O283" s="0" t="n">
        <v>4.8</v>
      </c>
      <c r="P283" s="0" t="n">
        <v>4.8</v>
      </c>
      <c r="Q283" s="0" t="n">
        <v>4.57</v>
      </c>
      <c r="R283" s="0" t="s">
        <v>92</v>
      </c>
      <c r="S283" s="0" t="s">
        <v>26</v>
      </c>
      <c r="T283" s="0" t="s">
        <v>188</v>
      </c>
      <c r="U283" s="0" t="s">
        <v>209</v>
      </c>
      <c r="V283" s="0" t="n">
        <f aca="false">(I283/100 + O283/5) / 2</f>
        <v>0.77845</v>
      </c>
      <c r="W283" s="0" t="n">
        <f aca="false">(J283/100 + P283/5) / 2</f>
        <v>0.77845</v>
      </c>
      <c r="X283" s="0" t="n">
        <f aca="false">(K283/100 + Q283/5) / 2</f>
        <v>0.7621</v>
      </c>
    </row>
    <row r="284" customFormat="false" ht="12.8" hidden="false" customHeight="false" outlineLevel="0" collapsed="false">
      <c r="A284" s="0" t="s">
        <v>1681</v>
      </c>
      <c r="B284" s="0" t="s">
        <v>1682</v>
      </c>
      <c r="C284" s="0" t="s">
        <v>1683</v>
      </c>
      <c r="D284" s="0" t="s">
        <v>1684</v>
      </c>
      <c r="E284" s="0" t="s">
        <v>1685</v>
      </c>
      <c r="F284" s="0" t="n">
        <v>0</v>
      </c>
      <c r="G284" s="0" t="n">
        <v>1</v>
      </c>
      <c r="H284" s="0" t="n">
        <v>1</v>
      </c>
      <c r="I284" s="0" t="n">
        <v>57.07</v>
      </c>
      <c r="J284" s="0" t="n">
        <v>57.07</v>
      </c>
      <c r="K284" s="0" t="n">
        <v>13.49</v>
      </c>
      <c r="L284" s="0" t="n">
        <v>0.94</v>
      </c>
      <c r="M284" s="0" t="n">
        <v>0.94</v>
      </c>
      <c r="N284" s="0" t="n">
        <v>0.94</v>
      </c>
      <c r="O284" s="0" t="n">
        <v>4.6</v>
      </c>
      <c r="P284" s="0" t="n">
        <v>4.82</v>
      </c>
      <c r="Q284" s="0" t="n">
        <v>4.78</v>
      </c>
      <c r="R284" s="0" t="s">
        <v>1686</v>
      </c>
      <c r="S284" s="0" t="s">
        <v>149</v>
      </c>
      <c r="T284" s="0" t="s">
        <v>1687</v>
      </c>
      <c r="U284" s="0" t="s">
        <v>93</v>
      </c>
      <c r="V284" s="0" t="n">
        <f aca="false">(I284/100 + O284/5) / 2</f>
        <v>0.74535</v>
      </c>
      <c r="W284" s="0" t="n">
        <f aca="false">(J284/100 + P284/5) / 2</f>
        <v>0.76735</v>
      </c>
      <c r="X284" s="0" t="n">
        <f aca="false">(K284/100 + Q284/5) / 2</f>
        <v>0.54545</v>
      </c>
    </row>
    <row r="285" customFormat="false" ht="12.8" hidden="false" customHeight="false" outlineLevel="0" collapsed="false">
      <c r="A285" s="0" t="s">
        <v>1688</v>
      </c>
      <c r="B285" s="0" t="s">
        <v>1689</v>
      </c>
      <c r="C285" s="0" t="s">
        <v>1690</v>
      </c>
      <c r="D285" s="0" t="s">
        <v>1691</v>
      </c>
      <c r="E285" s="0" t="s">
        <v>1692</v>
      </c>
      <c r="F285" s="0" t="n">
        <v>1</v>
      </c>
      <c r="G285" s="0" t="n">
        <v>1</v>
      </c>
      <c r="H285" s="0" t="n">
        <v>1</v>
      </c>
      <c r="I285" s="0" t="n">
        <v>73.49</v>
      </c>
      <c r="J285" s="0" t="n">
        <v>73.49</v>
      </c>
      <c r="K285" s="0" t="n">
        <v>14.17</v>
      </c>
      <c r="L285" s="0" t="n">
        <v>0.97</v>
      </c>
      <c r="M285" s="0" t="n">
        <v>0.97</v>
      </c>
      <c r="N285" s="0" t="n">
        <v>0.91</v>
      </c>
      <c r="O285" s="0" t="n">
        <v>4.9</v>
      </c>
      <c r="P285" s="0" t="n">
        <v>4.9</v>
      </c>
      <c r="Q285" s="0" t="n">
        <v>3.77</v>
      </c>
      <c r="R285" s="0" t="s">
        <v>1693</v>
      </c>
      <c r="S285" s="0" t="s">
        <v>510</v>
      </c>
      <c r="T285" s="0" t="s">
        <v>285</v>
      </c>
      <c r="U285" s="0" t="s">
        <v>28</v>
      </c>
      <c r="V285" s="0" t="n">
        <f aca="false">(I285/100 + O285/5) / 2</f>
        <v>0.85745</v>
      </c>
      <c r="W285" s="0" t="n">
        <f aca="false">(J285/100 + P285/5) / 2</f>
        <v>0.85745</v>
      </c>
      <c r="X285" s="0" t="n">
        <f aca="false">(K285/100 + Q285/5) / 2</f>
        <v>0.44785</v>
      </c>
    </row>
    <row r="286" customFormat="false" ht="12.8" hidden="false" customHeight="false" outlineLevel="0" collapsed="false">
      <c r="A286" s="0" t="s">
        <v>1694</v>
      </c>
      <c r="B286" s="0" t="s">
        <v>1695</v>
      </c>
      <c r="C286" s="0" t="s">
        <v>1696</v>
      </c>
      <c r="D286" s="0" t="s">
        <v>1697</v>
      </c>
      <c r="E286" s="0" t="s">
        <v>1698</v>
      </c>
      <c r="F286" s="0" t="n">
        <v>1</v>
      </c>
      <c r="G286" s="0" t="n">
        <v>1</v>
      </c>
      <c r="H286" s="0" t="n">
        <v>1</v>
      </c>
      <c r="I286" s="0" t="n">
        <v>62.98</v>
      </c>
      <c r="J286" s="0" t="n">
        <v>62.98</v>
      </c>
      <c r="K286" s="0" t="n">
        <v>61.63</v>
      </c>
      <c r="L286" s="0" t="n">
        <v>0.84</v>
      </c>
      <c r="M286" s="0" t="n">
        <v>0.89</v>
      </c>
      <c r="N286" s="0" t="n">
        <v>0.81</v>
      </c>
      <c r="O286" s="0" t="n">
        <v>4.53</v>
      </c>
      <c r="P286" s="0" t="n">
        <v>4.18</v>
      </c>
      <c r="Q286" s="0" t="n">
        <v>4.47</v>
      </c>
      <c r="R286" s="0" t="s">
        <v>92</v>
      </c>
      <c r="S286" s="0" t="s">
        <v>286</v>
      </c>
      <c r="T286" s="0" t="s">
        <v>187</v>
      </c>
      <c r="U286" s="0" t="s">
        <v>36</v>
      </c>
      <c r="V286" s="0" t="n">
        <f aca="false">(I286/100 + O286/5) / 2</f>
        <v>0.7679</v>
      </c>
      <c r="W286" s="0" t="n">
        <f aca="false">(J286/100 + P286/5) / 2</f>
        <v>0.7329</v>
      </c>
      <c r="X286" s="0" t="n">
        <f aca="false">(K286/100 + Q286/5) / 2</f>
        <v>0.75515</v>
      </c>
    </row>
    <row r="287" customFormat="false" ht="12.8" hidden="false" customHeight="false" outlineLevel="0" collapsed="false">
      <c r="A287" s="0" t="s">
        <v>1699</v>
      </c>
      <c r="B287" s="0" t="s">
        <v>1700</v>
      </c>
      <c r="C287" s="0" t="s">
        <v>1701</v>
      </c>
      <c r="D287" s="0" t="s">
        <v>1702</v>
      </c>
      <c r="E287" s="0" t="s">
        <v>1703</v>
      </c>
      <c r="F287" s="0" t="n">
        <v>1</v>
      </c>
      <c r="G287" s="0" t="n">
        <v>1</v>
      </c>
      <c r="H287" s="0" t="n">
        <v>1</v>
      </c>
      <c r="I287" s="0" t="n">
        <v>44.08</v>
      </c>
      <c r="J287" s="0" t="n">
        <v>44.08</v>
      </c>
      <c r="K287" s="0" t="n">
        <v>18.53</v>
      </c>
      <c r="L287" s="0" t="n">
        <v>0.92</v>
      </c>
      <c r="M287" s="0" t="n">
        <v>0.92</v>
      </c>
      <c r="N287" s="0" t="n">
        <v>0.88</v>
      </c>
      <c r="O287" s="0" t="n">
        <v>4.52</v>
      </c>
      <c r="P287" s="0" t="n">
        <v>4.52</v>
      </c>
      <c r="Q287" s="0" t="n">
        <v>4.19</v>
      </c>
      <c r="R287" s="0" t="s">
        <v>1704</v>
      </c>
      <c r="S287" s="0" t="s">
        <v>27</v>
      </c>
      <c r="T287" s="0" t="s">
        <v>187</v>
      </c>
      <c r="U287" s="0" t="s">
        <v>28</v>
      </c>
      <c r="V287" s="0" t="n">
        <f aca="false">(I287/100 + O287/5) / 2</f>
        <v>0.6724</v>
      </c>
      <c r="W287" s="0" t="n">
        <f aca="false">(J287/100 + P287/5) / 2</f>
        <v>0.6724</v>
      </c>
      <c r="X287" s="0" t="n">
        <f aca="false">(K287/100 + Q287/5) / 2</f>
        <v>0.51165</v>
      </c>
    </row>
    <row r="288" customFormat="false" ht="12.8" hidden="false" customHeight="false" outlineLevel="0" collapsed="false">
      <c r="A288" s="0" t="s">
        <v>1705</v>
      </c>
      <c r="B288" s="0" t="s">
        <v>1706</v>
      </c>
      <c r="C288" s="0" t="s">
        <v>1707</v>
      </c>
      <c r="D288" s="0" t="s">
        <v>1708</v>
      </c>
      <c r="E288" s="0" t="s">
        <v>1709</v>
      </c>
      <c r="F288" s="0" t="n">
        <v>1</v>
      </c>
      <c r="G288" s="0" t="n">
        <v>1</v>
      </c>
      <c r="H288" s="0" t="n">
        <v>0</v>
      </c>
      <c r="I288" s="0" t="n">
        <v>59.23</v>
      </c>
      <c r="J288" s="0" t="n">
        <v>59.23</v>
      </c>
      <c r="K288" s="0" t="n">
        <v>46.1</v>
      </c>
      <c r="L288" s="0" t="n">
        <v>0.92</v>
      </c>
      <c r="M288" s="0" t="n">
        <v>0.92</v>
      </c>
      <c r="N288" s="0" t="n">
        <v>0.91</v>
      </c>
      <c r="O288" s="0" t="n">
        <v>5</v>
      </c>
      <c r="P288" s="0" t="n">
        <v>5</v>
      </c>
      <c r="Q288" s="0" t="n">
        <v>4.97</v>
      </c>
      <c r="R288" s="0" t="s">
        <v>1710</v>
      </c>
      <c r="S288" s="0" t="s">
        <v>697</v>
      </c>
      <c r="T288" s="0" t="s">
        <v>1711</v>
      </c>
      <c r="U288" s="0" t="s">
        <v>36</v>
      </c>
      <c r="V288" s="0" t="n">
        <f aca="false">(I288/100 + O288/5) / 2</f>
        <v>0.79615</v>
      </c>
      <c r="W288" s="0" t="n">
        <f aca="false">(J288/100 + P288/5) / 2</f>
        <v>0.79615</v>
      </c>
      <c r="X288" s="0" t="n">
        <f aca="false">(K288/100 + Q288/5) / 2</f>
        <v>0.7275</v>
      </c>
    </row>
    <row r="289" customFormat="false" ht="12.8" hidden="false" customHeight="false" outlineLevel="0" collapsed="false">
      <c r="A289" s="0" t="s">
        <v>1712</v>
      </c>
      <c r="B289" s="0" t="s">
        <v>1713</v>
      </c>
      <c r="C289" s="0" t="s">
        <v>1713</v>
      </c>
      <c r="D289" s="0" t="s">
        <v>1714</v>
      </c>
      <c r="E289" s="0" t="s">
        <v>1715</v>
      </c>
      <c r="F289" s="0" t="n">
        <v>1</v>
      </c>
      <c r="G289" s="0" t="n">
        <v>1</v>
      </c>
      <c r="H289" s="0" t="n">
        <v>1</v>
      </c>
      <c r="I289" s="0" t="n">
        <v>100</v>
      </c>
      <c r="J289" s="0" t="n">
        <v>100</v>
      </c>
      <c r="K289" s="0" t="n">
        <v>47.75</v>
      </c>
      <c r="L289" s="0" t="n">
        <v>0.98</v>
      </c>
      <c r="M289" s="0" t="n">
        <v>0.98</v>
      </c>
      <c r="N289" s="0" t="n">
        <v>0.92</v>
      </c>
      <c r="O289" s="0" t="n">
        <v>4.7</v>
      </c>
      <c r="P289" s="0" t="n">
        <v>4.7</v>
      </c>
      <c r="Q289" s="0" t="n">
        <v>4.62</v>
      </c>
      <c r="R289" s="0" t="s">
        <v>1716</v>
      </c>
      <c r="S289" s="0" t="s">
        <v>510</v>
      </c>
      <c r="T289" s="0" t="s">
        <v>26</v>
      </c>
      <c r="U289" s="0" t="s">
        <v>93</v>
      </c>
      <c r="V289" s="0" t="n">
        <f aca="false">(I289/100 + O289/5) / 2</f>
        <v>0.97</v>
      </c>
      <c r="W289" s="0" t="n">
        <f aca="false">(J289/100 + P289/5) / 2</f>
        <v>0.97</v>
      </c>
      <c r="X289" s="0" t="n">
        <f aca="false">(K289/100 + Q289/5) / 2</f>
        <v>0.70075</v>
      </c>
    </row>
    <row r="290" customFormat="false" ht="12.8" hidden="false" customHeight="false" outlineLevel="0" collapsed="false">
      <c r="A290" s="0" t="s">
        <v>1717</v>
      </c>
      <c r="B290" s="0" t="s">
        <v>1718</v>
      </c>
      <c r="C290" s="0" t="s">
        <v>1718</v>
      </c>
      <c r="D290" s="0" t="s">
        <v>1719</v>
      </c>
      <c r="E290" s="0" t="s">
        <v>1720</v>
      </c>
      <c r="F290" s="0" t="n">
        <v>1</v>
      </c>
      <c r="G290" s="0" t="n">
        <v>1</v>
      </c>
      <c r="H290" s="0" t="n">
        <v>1</v>
      </c>
      <c r="I290" s="0" t="n">
        <v>100</v>
      </c>
      <c r="J290" s="0" t="n">
        <v>100</v>
      </c>
      <c r="K290" s="0" t="n">
        <v>58.34</v>
      </c>
      <c r="L290" s="0" t="n">
        <v>0.98</v>
      </c>
      <c r="M290" s="0" t="n">
        <v>0.98</v>
      </c>
      <c r="N290" s="0" t="n">
        <v>0.94</v>
      </c>
      <c r="O290" s="0" t="n">
        <v>4.86</v>
      </c>
      <c r="P290" s="0" t="n">
        <v>4.86</v>
      </c>
      <c r="Q290" s="0" t="n">
        <v>4.66</v>
      </c>
      <c r="R290" s="0" t="s">
        <v>1721</v>
      </c>
      <c r="S290" s="0" t="s">
        <v>27</v>
      </c>
      <c r="T290" s="0" t="s">
        <v>27</v>
      </c>
      <c r="U290" s="0" t="s">
        <v>1722</v>
      </c>
      <c r="V290" s="0" t="n">
        <f aca="false">(I290/100 + O290/5) / 2</f>
        <v>0.986</v>
      </c>
      <c r="W290" s="0" t="n">
        <f aca="false">(J290/100 + P290/5) / 2</f>
        <v>0.986</v>
      </c>
      <c r="X290" s="0" t="n">
        <f aca="false">(K290/100 + Q290/5) / 2</f>
        <v>0.7577</v>
      </c>
    </row>
    <row r="291" customFormat="false" ht="12.8" hidden="false" customHeight="false" outlineLevel="0" collapsed="false">
      <c r="A291" s="0" t="s">
        <v>1723</v>
      </c>
      <c r="B291" s="0" t="s">
        <v>1724</v>
      </c>
      <c r="C291" s="0" t="s">
        <v>1724</v>
      </c>
      <c r="D291" s="0" t="s">
        <v>1725</v>
      </c>
      <c r="E291" s="0" t="s">
        <v>1726</v>
      </c>
      <c r="F291" s="0" t="n">
        <v>1</v>
      </c>
      <c r="G291" s="0" t="n">
        <v>1</v>
      </c>
      <c r="H291" s="0" t="n">
        <v>1</v>
      </c>
      <c r="I291" s="0" t="n">
        <v>100</v>
      </c>
      <c r="J291" s="0" t="n">
        <v>100</v>
      </c>
      <c r="K291" s="0" t="n">
        <v>70.71</v>
      </c>
      <c r="L291" s="0" t="n">
        <v>0.98</v>
      </c>
      <c r="M291" s="0" t="n">
        <v>0.98</v>
      </c>
      <c r="N291" s="0" t="n">
        <v>0.95</v>
      </c>
      <c r="O291" s="0" t="n">
        <v>4.82</v>
      </c>
      <c r="P291" s="0" t="n">
        <v>4.82</v>
      </c>
      <c r="Q291" s="0" t="n">
        <v>4.55</v>
      </c>
      <c r="R291" s="0" t="s">
        <v>741</v>
      </c>
      <c r="S291" s="0" t="s">
        <v>92</v>
      </c>
      <c r="T291" s="0" t="s">
        <v>510</v>
      </c>
      <c r="U291" s="0" t="s">
        <v>28</v>
      </c>
      <c r="V291" s="0" t="n">
        <f aca="false">(I291/100 + O291/5) / 2</f>
        <v>0.982</v>
      </c>
      <c r="W291" s="0" t="n">
        <f aca="false">(J291/100 + P291/5) / 2</f>
        <v>0.982</v>
      </c>
      <c r="X291" s="0" t="n">
        <f aca="false">(K291/100 + Q291/5) / 2</f>
        <v>0.80855</v>
      </c>
    </row>
    <row r="292" customFormat="false" ht="12.8" hidden="false" customHeight="false" outlineLevel="0" collapsed="false">
      <c r="A292" s="0" t="s">
        <v>1727</v>
      </c>
      <c r="B292" s="0" t="s">
        <v>1728</v>
      </c>
      <c r="C292" s="0" t="s">
        <v>1728</v>
      </c>
      <c r="D292" s="0" t="s">
        <v>1729</v>
      </c>
      <c r="E292" s="0" t="s">
        <v>1730</v>
      </c>
      <c r="F292" s="0" t="n">
        <v>1</v>
      </c>
      <c r="G292" s="0" t="n">
        <v>1</v>
      </c>
      <c r="H292" s="0" t="n">
        <v>1</v>
      </c>
      <c r="I292" s="0" t="n">
        <v>100</v>
      </c>
      <c r="J292" s="0" t="n">
        <v>100</v>
      </c>
      <c r="K292" s="0" t="n">
        <v>61.48</v>
      </c>
      <c r="L292" s="0" t="n">
        <v>0.99</v>
      </c>
      <c r="M292" s="0" t="n">
        <v>0.99</v>
      </c>
      <c r="N292" s="0" t="n">
        <v>0.99</v>
      </c>
      <c r="O292" s="0" t="n">
        <v>4.57</v>
      </c>
      <c r="P292" s="0" t="n">
        <v>4.57</v>
      </c>
      <c r="Q292" s="0" t="n">
        <v>4.5</v>
      </c>
      <c r="R292" s="0" t="s">
        <v>1731</v>
      </c>
      <c r="S292" s="0" t="s">
        <v>26</v>
      </c>
      <c r="T292" s="0" t="s">
        <v>26</v>
      </c>
      <c r="U292" s="0" t="s">
        <v>50</v>
      </c>
      <c r="V292" s="0" t="n">
        <f aca="false">(I292/100 + O292/5) / 2</f>
        <v>0.957</v>
      </c>
      <c r="W292" s="0" t="n">
        <f aca="false">(J292/100 + P292/5) / 2</f>
        <v>0.957</v>
      </c>
      <c r="X292" s="0" t="n">
        <f aca="false">(K292/100 + Q292/5) / 2</f>
        <v>0.7574</v>
      </c>
    </row>
    <row r="293" customFormat="false" ht="12.8" hidden="false" customHeight="false" outlineLevel="0" collapsed="false">
      <c r="A293" s="0" t="s">
        <v>1732</v>
      </c>
      <c r="B293" s="0" t="s">
        <v>1733</v>
      </c>
      <c r="C293" s="0" t="s">
        <v>1733</v>
      </c>
      <c r="D293" s="0" t="s">
        <v>1734</v>
      </c>
      <c r="E293" s="0" t="s">
        <v>1735</v>
      </c>
      <c r="F293" s="0" t="n">
        <v>1</v>
      </c>
      <c r="G293" s="0" t="n">
        <v>1</v>
      </c>
      <c r="H293" s="0" t="n">
        <v>1</v>
      </c>
      <c r="I293" s="0" t="n">
        <v>100</v>
      </c>
      <c r="J293" s="0" t="n">
        <v>70.71</v>
      </c>
      <c r="K293" s="0" t="n">
        <v>25.97</v>
      </c>
      <c r="L293" s="0" t="n">
        <v>0.99</v>
      </c>
      <c r="M293" s="0" t="n">
        <v>0.98</v>
      </c>
      <c r="N293" s="0" t="n">
        <v>0.95</v>
      </c>
      <c r="O293" s="0" t="n">
        <v>4.79</v>
      </c>
      <c r="P293" s="0" t="n">
        <v>4.74</v>
      </c>
      <c r="Q293" s="0" t="n">
        <v>4.37</v>
      </c>
      <c r="R293" s="0" t="s">
        <v>1736</v>
      </c>
      <c r="S293" s="0" t="s">
        <v>27</v>
      </c>
      <c r="T293" s="0" t="s">
        <v>286</v>
      </c>
      <c r="U293" s="0" t="s">
        <v>28</v>
      </c>
      <c r="V293" s="0" t="n">
        <f aca="false">(I293/100 + O293/5) / 2</f>
        <v>0.979</v>
      </c>
      <c r="W293" s="0" t="n">
        <f aca="false">(J293/100 + P293/5) / 2</f>
        <v>0.82755</v>
      </c>
      <c r="X293" s="0" t="n">
        <f aca="false">(K293/100 + Q293/5) / 2</f>
        <v>0.56685</v>
      </c>
    </row>
    <row r="294" customFormat="false" ht="12.8" hidden="false" customHeight="false" outlineLevel="0" collapsed="false">
      <c r="A294" s="0" t="s">
        <v>1737</v>
      </c>
      <c r="B294" s="0" t="s">
        <v>1738</v>
      </c>
      <c r="C294" s="0" t="s">
        <v>1739</v>
      </c>
      <c r="D294" s="0" t="s">
        <v>1740</v>
      </c>
      <c r="E294" s="0" t="s">
        <v>1741</v>
      </c>
      <c r="F294" s="0" t="n">
        <v>1</v>
      </c>
      <c r="G294" s="0" t="n">
        <v>1</v>
      </c>
      <c r="H294" s="0" t="n">
        <v>1</v>
      </c>
      <c r="I294" s="0" t="n">
        <v>61.05</v>
      </c>
      <c r="J294" s="0" t="n">
        <v>61.05</v>
      </c>
      <c r="K294" s="0" t="n">
        <v>24.27</v>
      </c>
      <c r="L294" s="0" t="n">
        <v>0.96</v>
      </c>
      <c r="M294" s="0" t="n">
        <v>0.96</v>
      </c>
      <c r="N294" s="0" t="n">
        <v>0.95</v>
      </c>
      <c r="O294" s="0" t="n">
        <v>4.71</v>
      </c>
      <c r="P294" s="0" t="n">
        <v>4.71</v>
      </c>
      <c r="Q294" s="0" t="n">
        <v>4.6</v>
      </c>
      <c r="R294" s="0" t="s">
        <v>90</v>
      </c>
      <c r="S294" s="0" t="s">
        <v>26</v>
      </c>
      <c r="T294" s="0" t="s">
        <v>92</v>
      </c>
      <c r="U294" s="0" t="s">
        <v>50</v>
      </c>
      <c r="V294" s="0" t="n">
        <f aca="false">(I294/100 + O294/5) / 2</f>
        <v>0.77625</v>
      </c>
      <c r="W294" s="0" t="n">
        <f aca="false">(J294/100 + P294/5) / 2</f>
        <v>0.77625</v>
      </c>
      <c r="X294" s="0" t="n">
        <f aca="false">(K294/100 + Q294/5) / 2</f>
        <v>0.58135</v>
      </c>
    </row>
    <row r="295" customFormat="false" ht="12.8" hidden="false" customHeight="false" outlineLevel="0" collapsed="false">
      <c r="A295" s="0" t="s">
        <v>1742</v>
      </c>
      <c r="B295" s="0" t="s">
        <v>1743</v>
      </c>
      <c r="C295" s="0" t="s">
        <v>1744</v>
      </c>
      <c r="D295" s="0" t="s">
        <v>1745</v>
      </c>
      <c r="E295" s="0" t="s">
        <v>1746</v>
      </c>
      <c r="F295" s="0" t="n">
        <v>1</v>
      </c>
      <c r="G295" s="0" t="n">
        <v>1</v>
      </c>
      <c r="H295" s="0" t="n">
        <v>1</v>
      </c>
      <c r="I295" s="0" t="n">
        <v>50</v>
      </c>
      <c r="J295" s="0" t="n">
        <v>50</v>
      </c>
      <c r="K295" s="0" t="n">
        <v>23.36</v>
      </c>
      <c r="L295" s="0" t="n">
        <v>0.96</v>
      </c>
      <c r="M295" s="0" t="n">
        <v>0.94</v>
      </c>
      <c r="N295" s="0" t="n">
        <v>0.91</v>
      </c>
      <c r="O295" s="0" t="n">
        <v>4.84</v>
      </c>
      <c r="P295" s="0" t="n">
        <v>4.81</v>
      </c>
      <c r="Q295" s="0" t="n">
        <v>4.55</v>
      </c>
      <c r="R295" s="0" t="s">
        <v>1747</v>
      </c>
      <c r="S295" s="0" t="s">
        <v>27</v>
      </c>
      <c r="T295" s="0" t="s">
        <v>510</v>
      </c>
      <c r="U295" s="0" t="s">
        <v>28</v>
      </c>
      <c r="V295" s="0" t="n">
        <f aca="false">(I295/100 + O295/5) / 2</f>
        <v>0.734</v>
      </c>
      <c r="W295" s="0" t="n">
        <f aca="false">(J295/100 + P295/5) / 2</f>
        <v>0.731</v>
      </c>
      <c r="X295" s="0" t="n">
        <f aca="false">(K295/100 + Q295/5) / 2</f>
        <v>0.5718</v>
      </c>
    </row>
    <row r="296" customFormat="false" ht="12.8" hidden="false" customHeight="false" outlineLevel="0" collapsed="false">
      <c r="A296" s="0" t="s">
        <v>1748</v>
      </c>
      <c r="B296" s="0" t="s">
        <v>1749</v>
      </c>
      <c r="C296" s="0" t="s">
        <v>1750</v>
      </c>
      <c r="D296" s="0" t="s">
        <v>1751</v>
      </c>
      <c r="E296" s="0" t="s">
        <v>1752</v>
      </c>
      <c r="F296" s="0" t="n">
        <v>1</v>
      </c>
      <c r="G296" s="0" t="n">
        <v>1</v>
      </c>
      <c r="H296" s="0" t="n">
        <v>1</v>
      </c>
      <c r="I296" s="0" t="n">
        <v>80.03</v>
      </c>
      <c r="J296" s="0" t="n">
        <v>100</v>
      </c>
      <c r="K296" s="0" t="n">
        <v>50.7</v>
      </c>
      <c r="L296" s="0" t="n">
        <v>0.95</v>
      </c>
      <c r="M296" s="0" t="n">
        <v>0.97</v>
      </c>
      <c r="N296" s="0" t="n">
        <v>0.92</v>
      </c>
      <c r="O296" s="0" t="n">
        <v>4.93</v>
      </c>
      <c r="P296" s="0" t="n">
        <v>4.96</v>
      </c>
      <c r="Q296" s="0" t="n">
        <v>4.58</v>
      </c>
      <c r="R296" s="0" t="s">
        <v>1203</v>
      </c>
      <c r="S296" s="0" t="s">
        <v>27</v>
      </c>
      <c r="T296" s="0" t="s">
        <v>187</v>
      </c>
      <c r="U296" s="0" t="s">
        <v>1722</v>
      </c>
      <c r="V296" s="0" t="n">
        <f aca="false">(I296/100 + O296/5) / 2</f>
        <v>0.89315</v>
      </c>
      <c r="W296" s="0" t="n">
        <f aca="false">(J296/100 + P296/5) / 2</f>
        <v>0.996</v>
      </c>
      <c r="X296" s="0" t="n">
        <f aca="false">(K296/100 + Q296/5) / 2</f>
        <v>0.7115</v>
      </c>
    </row>
    <row r="297" customFormat="false" ht="12.8" hidden="false" customHeight="false" outlineLevel="0" collapsed="false">
      <c r="A297" s="0" t="s">
        <v>1753</v>
      </c>
      <c r="B297" s="0" t="s">
        <v>1754</v>
      </c>
      <c r="C297" s="0" t="s">
        <v>1755</v>
      </c>
      <c r="D297" s="0" t="s">
        <v>1756</v>
      </c>
      <c r="E297" s="0" t="s">
        <v>1757</v>
      </c>
      <c r="F297" s="0" t="n">
        <v>1</v>
      </c>
      <c r="G297" s="0" t="n">
        <v>0</v>
      </c>
      <c r="H297" s="0" t="n">
        <v>1</v>
      </c>
      <c r="I297" s="0" t="n">
        <v>78.19</v>
      </c>
      <c r="J297" s="0" t="n">
        <v>61.34</v>
      </c>
      <c r="K297" s="0" t="n">
        <v>78.19</v>
      </c>
      <c r="L297" s="0" t="n">
        <v>0.96</v>
      </c>
      <c r="M297" s="0" t="n">
        <v>0.95</v>
      </c>
      <c r="N297" s="0" t="n">
        <v>0.96</v>
      </c>
      <c r="O297" s="0" t="n">
        <v>4.6</v>
      </c>
      <c r="P297" s="0" t="n">
        <v>4.54</v>
      </c>
      <c r="Q297" s="0" t="n">
        <v>4.6</v>
      </c>
      <c r="R297" s="0" t="s">
        <v>1758</v>
      </c>
      <c r="S297" s="0" t="s">
        <v>674</v>
      </c>
      <c r="T297" s="0" t="s">
        <v>1759</v>
      </c>
      <c r="U297" s="0" t="s">
        <v>36</v>
      </c>
      <c r="V297" s="0" t="n">
        <f aca="false">(I297/100 + O297/5) / 2</f>
        <v>0.85095</v>
      </c>
      <c r="W297" s="0" t="n">
        <f aca="false">(J297/100 + P297/5) / 2</f>
        <v>0.7607</v>
      </c>
      <c r="X297" s="0" t="n">
        <f aca="false">(K297/100 + Q297/5) / 2</f>
        <v>0.85095</v>
      </c>
    </row>
    <row r="298" customFormat="false" ht="12.8" hidden="false" customHeight="false" outlineLevel="0" collapsed="false">
      <c r="A298" s="0" t="s">
        <v>1760</v>
      </c>
      <c r="B298" s="0" t="s">
        <v>1761</v>
      </c>
      <c r="C298" s="0" t="s">
        <v>1761</v>
      </c>
      <c r="D298" s="0" t="s">
        <v>1762</v>
      </c>
      <c r="E298" s="0" t="s">
        <v>1763</v>
      </c>
      <c r="F298" s="0" t="n">
        <v>1</v>
      </c>
      <c r="G298" s="0" t="n">
        <v>1</v>
      </c>
      <c r="H298" s="0" t="n">
        <v>1</v>
      </c>
      <c r="I298" s="0" t="n">
        <v>100</v>
      </c>
      <c r="J298" s="0" t="n">
        <v>100</v>
      </c>
      <c r="K298" s="0" t="n">
        <v>65.77</v>
      </c>
      <c r="L298" s="0" t="n">
        <v>0.98</v>
      </c>
      <c r="M298" s="0" t="n">
        <v>0.98</v>
      </c>
      <c r="N298" s="0" t="n">
        <v>0.96</v>
      </c>
      <c r="O298" s="0" t="n">
        <v>5.11</v>
      </c>
      <c r="P298" s="0" t="n">
        <v>5.11</v>
      </c>
      <c r="Q298" s="0" t="n">
        <v>4.96</v>
      </c>
      <c r="R298" s="0" t="s">
        <v>1024</v>
      </c>
      <c r="S298" s="0" t="s">
        <v>26</v>
      </c>
      <c r="T298" s="0" t="s">
        <v>92</v>
      </c>
      <c r="U298" s="0" t="s">
        <v>50</v>
      </c>
      <c r="V298" s="0" t="n">
        <f aca="false">(I298/100 + O298/5) / 2</f>
        <v>1.011</v>
      </c>
      <c r="W298" s="0" t="n">
        <f aca="false">(J298/100 + P298/5) / 2</f>
        <v>1.011</v>
      </c>
      <c r="X298" s="0" t="n">
        <f aca="false">(K298/100 + Q298/5) / 2</f>
        <v>0.82485</v>
      </c>
    </row>
    <row r="299" customFormat="false" ht="12.8" hidden="false" customHeight="false" outlineLevel="0" collapsed="false">
      <c r="A299" s="0" t="s">
        <v>1764</v>
      </c>
      <c r="B299" s="0" t="s">
        <v>1765</v>
      </c>
      <c r="C299" s="0" t="s">
        <v>1765</v>
      </c>
      <c r="D299" s="0" t="s">
        <v>1766</v>
      </c>
      <c r="E299" s="0" t="s">
        <v>1767</v>
      </c>
      <c r="F299" s="0" t="n">
        <v>1</v>
      </c>
      <c r="G299" s="0" t="n">
        <v>1</v>
      </c>
      <c r="H299" s="0" t="n">
        <v>0</v>
      </c>
      <c r="I299" s="0" t="n">
        <v>100</v>
      </c>
      <c r="J299" s="0" t="n">
        <v>100</v>
      </c>
      <c r="K299" s="0" t="n">
        <v>43.47</v>
      </c>
      <c r="L299" s="0" t="n">
        <v>0.98</v>
      </c>
      <c r="M299" s="0" t="n">
        <v>0.98</v>
      </c>
      <c r="N299" s="0" t="n">
        <v>0.92</v>
      </c>
      <c r="O299" s="0" t="n">
        <v>4.66</v>
      </c>
      <c r="P299" s="0" t="n">
        <v>4.66</v>
      </c>
      <c r="Q299" s="0" t="n">
        <v>4.42</v>
      </c>
      <c r="R299" s="0" t="s">
        <v>1768</v>
      </c>
      <c r="S299" s="0" t="s">
        <v>797</v>
      </c>
      <c r="T299" s="0" t="s">
        <v>1769</v>
      </c>
      <c r="U299" s="0" t="s">
        <v>36</v>
      </c>
      <c r="V299" s="0" t="n">
        <f aca="false">(I299/100 + O299/5) / 2</f>
        <v>0.966</v>
      </c>
      <c r="W299" s="0" t="n">
        <f aca="false">(J299/100 + P299/5) / 2</f>
        <v>0.966</v>
      </c>
      <c r="X299" s="0" t="n">
        <f aca="false">(K299/100 + Q299/5) / 2</f>
        <v>0.65935</v>
      </c>
    </row>
    <row r="300" customFormat="false" ht="12.8" hidden="false" customHeight="false" outlineLevel="0" collapsed="false">
      <c r="A300" s="0" t="s">
        <v>1770</v>
      </c>
      <c r="B300" s="0" t="s">
        <v>1771</v>
      </c>
      <c r="C300" s="0" t="s">
        <v>1772</v>
      </c>
      <c r="D300" s="0" t="s">
        <v>1773</v>
      </c>
      <c r="E300" s="0" t="s">
        <v>1774</v>
      </c>
      <c r="F300" s="0" t="n">
        <v>1</v>
      </c>
      <c r="G300" s="0" t="n">
        <v>1</v>
      </c>
      <c r="H300" s="0" t="n">
        <v>1</v>
      </c>
      <c r="I300" s="0" t="n">
        <v>82.82</v>
      </c>
      <c r="J300" s="0" t="n">
        <v>64.23</v>
      </c>
      <c r="K300" s="0" t="n">
        <v>57.75</v>
      </c>
      <c r="L300" s="0" t="n">
        <v>0.95</v>
      </c>
      <c r="M300" s="0" t="n">
        <v>0.94</v>
      </c>
      <c r="N300" s="0" t="n">
        <v>0.91</v>
      </c>
      <c r="O300" s="0" t="n">
        <v>4.95</v>
      </c>
      <c r="P300" s="0" t="n">
        <v>4.92</v>
      </c>
      <c r="Q300" s="0" t="n">
        <v>4.84</v>
      </c>
      <c r="R300" s="0" t="s">
        <v>1775</v>
      </c>
      <c r="S300" s="0" t="s">
        <v>27</v>
      </c>
      <c r="T300" s="0" t="s">
        <v>26</v>
      </c>
      <c r="U300" s="0" t="s">
        <v>93</v>
      </c>
      <c r="V300" s="0" t="n">
        <f aca="false">(I300/100 + O300/5) / 2</f>
        <v>0.9091</v>
      </c>
      <c r="W300" s="0" t="n">
        <f aca="false">(J300/100 + P300/5) / 2</f>
        <v>0.81315</v>
      </c>
      <c r="X300" s="0" t="n">
        <f aca="false">(K300/100 + Q300/5) / 2</f>
        <v>0.77275</v>
      </c>
    </row>
    <row r="301" customFormat="false" ht="12.8" hidden="false" customHeight="false" outlineLevel="0" collapsed="false">
      <c r="A301" s="0" t="s">
        <v>1776</v>
      </c>
      <c r="B301" s="0" t="s">
        <v>1777</v>
      </c>
      <c r="C301" s="0" t="s">
        <v>1778</v>
      </c>
      <c r="D301" s="0" t="s">
        <v>1779</v>
      </c>
      <c r="E301" s="0" t="s">
        <v>1780</v>
      </c>
      <c r="F301" s="0" t="n">
        <v>1</v>
      </c>
      <c r="G301" s="0" t="n">
        <v>1</v>
      </c>
      <c r="H301" s="0" t="n">
        <v>0</v>
      </c>
      <c r="I301" s="0" t="n">
        <v>65.8</v>
      </c>
      <c r="J301" s="0" t="n">
        <v>100</v>
      </c>
      <c r="K301" s="0" t="n">
        <v>54.63</v>
      </c>
      <c r="L301" s="0" t="n">
        <v>0.98</v>
      </c>
      <c r="M301" s="0" t="n">
        <v>0.99</v>
      </c>
      <c r="N301" s="0" t="n">
        <v>0.91</v>
      </c>
      <c r="O301" s="0" t="n">
        <v>4.66</v>
      </c>
      <c r="P301" s="0" t="n">
        <v>4.68</v>
      </c>
      <c r="Q301" s="0" t="n">
        <v>4.39</v>
      </c>
      <c r="R301" s="0" t="s">
        <v>1781</v>
      </c>
      <c r="S301" s="0" t="s">
        <v>1364</v>
      </c>
      <c r="T301" s="0" t="s">
        <v>1782</v>
      </c>
      <c r="U301" s="0" t="s">
        <v>36</v>
      </c>
      <c r="V301" s="0" t="n">
        <f aca="false">(I301/100 + O301/5) / 2</f>
        <v>0.795</v>
      </c>
      <c r="W301" s="0" t="n">
        <f aca="false">(J301/100 + P301/5) / 2</f>
        <v>0.968</v>
      </c>
      <c r="X301" s="0" t="n">
        <f aca="false">(K301/100 + Q301/5) / 2</f>
        <v>0.71215</v>
      </c>
    </row>
    <row r="302" customFormat="false" ht="12.8" hidden="false" customHeight="false" outlineLevel="0" collapsed="false">
      <c r="A302" s="0" t="s">
        <v>1783</v>
      </c>
      <c r="B302" s="0" t="s">
        <v>1784</v>
      </c>
      <c r="C302" s="0" t="s">
        <v>1785</v>
      </c>
      <c r="D302" s="0" t="s">
        <v>1786</v>
      </c>
      <c r="E302" s="0" t="s">
        <v>1787</v>
      </c>
      <c r="F302" s="0" t="n">
        <v>1</v>
      </c>
      <c r="G302" s="0" t="n">
        <v>0</v>
      </c>
      <c r="H302" s="0" t="n">
        <v>0</v>
      </c>
      <c r="I302" s="0" t="n">
        <v>83.94</v>
      </c>
      <c r="J302" s="0" t="n">
        <v>74.71</v>
      </c>
      <c r="K302" s="0" t="n">
        <v>83.94</v>
      </c>
      <c r="L302" s="0" t="n">
        <v>0.96</v>
      </c>
      <c r="M302" s="0" t="n">
        <v>0.94</v>
      </c>
      <c r="N302" s="0" t="n">
        <v>0.94</v>
      </c>
      <c r="O302" s="0" t="n">
        <v>4.7</v>
      </c>
      <c r="P302" s="0" t="n">
        <v>4.41</v>
      </c>
      <c r="Q302" s="0" t="n">
        <v>4.46</v>
      </c>
      <c r="R302" s="0" t="s">
        <v>1788</v>
      </c>
      <c r="S302" s="0" t="s">
        <v>1789</v>
      </c>
      <c r="T302" s="0" t="s">
        <v>1790</v>
      </c>
      <c r="U302" s="0" t="s">
        <v>93</v>
      </c>
      <c r="V302" s="0" t="n">
        <f aca="false">(I302/100 + O302/5) / 2</f>
        <v>0.8897</v>
      </c>
      <c r="W302" s="0" t="n">
        <f aca="false">(J302/100 + P302/5) / 2</f>
        <v>0.81455</v>
      </c>
      <c r="X302" s="0" t="n">
        <f aca="false">(K302/100 + Q302/5) / 2</f>
        <v>0.8657</v>
      </c>
    </row>
    <row r="303" customFormat="false" ht="12.8" hidden="false" customHeight="false" outlineLevel="0" collapsed="false">
      <c r="A303" s="0" t="s">
        <v>1791</v>
      </c>
      <c r="B303" s="0" t="s">
        <v>1792</v>
      </c>
      <c r="C303" s="0" t="s">
        <v>1793</v>
      </c>
      <c r="D303" s="0" t="s">
        <v>1794</v>
      </c>
      <c r="E303" s="0" t="s">
        <v>1795</v>
      </c>
      <c r="F303" s="0" t="n">
        <v>1</v>
      </c>
      <c r="G303" s="0" t="n">
        <v>0</v>
      </c>
      <c r="H303" s="0" t="n">
        <v>0</v>
      </c>
      <c r="I303" s="0" t="n">
        <v>68.4</v>
      </c>
      <c r="J303" s="0" t="n">
        <v>57.11</v>
      </c>
      <c r="K303" s="0" t="n">
        <v>68.04</v>
      </c>
      <c r="L303" s="0" t="n">
        <v>0.83</v>
      </c>
      <c r="M303" s="0" t="n">
        <v>0.84</v>
      </c>
      <c r="N303" s="0" t="n">
        <v>0.75</v>
      </c>
      <c r="O303" s="0" t="n">
        <v>4.55</v>
      </c>
      <c r="P303" s="0" t="n">
        <v>4.66</v>
      </c>
      <c r="Q303" s="0" t="n">
        <v>4.48</v>
      </c>
      <c r="R303" s="0" t="s">
        <v>1796</v>
      </c>
      <c r="S303" s="0" t="s">
        <v>372</v>
      </c>
      <c r="T303" s="0" t="s">
        <v>1797</v>
      </c>
      <c r="U303" s="0" t="s">
        <v>36</v>
      </c>
      <c r="V303" s="0" t="n">
        <f aca="false">(I303/100 + O303/5) / 2</f>
        <v>0.797</v>
      </c>
      <c r="W303" s="0" t="n">
        <f aca="false">(J303/100 + P303/5) / 2</f>
        <v>0.75155</v>
      </c>
      <c r="X303" s="0" t="n">
        <f aca="false">(K303/100 + Q303/5) / 2</f>
        <v>0.7882</v>
      </c>
    </row>
    <row r="304" customFormat="false" ht="12.8" hidden="false" customHeight="false" outlineLevel="0" collapsed="false">
      <c r="A304" s="0" t="s">
        <v>1798</v>
      </c>
      <c r="B304" s="0" t="s">
        <v>1799</v>
      </c>
      <c r="C304" s="0" t="s">
        <v>1800</v>
      </c>
      <c r="D304" s="0" t="s">
        <v>1801</v>
      </c>
      <c r="E304" s="0" t="s">
        <v>1802</v>
      </c>
      <c r="F304" s="0" t="n">
        <v>1</v>
      </c>
      <c r="G304" s="0" t="n">
        <v>1</v>
      </c>
      <c r="H304" s="0" t="n">
        <v>1</v>
      </c>
      <c r="I304" s="0" t="n">
        <v>76.12</v>
      </c>
      <c r="J304" s="0" t="n">
        <v>53.34</v>
      </c>
      <c r="K304" s="0" t="n">
        <v>23.4</v>
      </c>
      <c r="L304" s="0" t="n">
        <v>0.97</v>
      </c>
      <c r="M304" s="0" t="n">
        <v>0.95</v>
      </c>
      <c r="N304" s="0" t="n">
        <v>0.95</v>
      </c>
      <c r="O304" s="0" t="n">
        <v>5.12</v>
      </c>
      <c r="P304" s="0" t="n">
        <v>5.1</v>
      </c>
      <c r="Q304" s="0" t="n">
        <v>5.12</v>
      </c>
      <c r="R304" s="0" t="s">
        <v>1803</v>
      </c>
      <c r="S304" s="0" t="s">
        <v>26</v>
      </c>
      <c r="T304" s="0" t="s">
        <v>26</v>
      </c>
      <c r="U304" s="0" t="s">
        <v>50</v>
      </c>
      <c r="V304" s="0" t="n">
        <f aca="false">(I304/100 + O304/5) / 2</f>
        <v>0.8926</v>
      </c>
      <c r="W304" s="0" t="n">
        <f aca="false">(J304/100 + P304/5) / 2</f>
        <v>0.7767</v>
      </c>
      <c r="X304" s="0" t="n">
        <f aca="false">(K304/100 + Q304/5) / 2</f>
        <v>0.629</v>
      </c>
    </row>
    <row r="305" customFormat="false" ht="12.8" hidden="false" customHeight="false" outlineLevel="0" collapsed="false">
      <c r="A305" s="0" t="s">
        <v>1804</v>
      </c>
      <c r="B305" s="0" t="s">
        <v>1805</v>
      </c>
      <c r="C305" s="0" t="s">
        <v>1806</v>
      </c>
      <c r="D305" s="0" t="s">
        <v>1807</v>
      </c>
      <c r="E305" s="0" t="s">
        <v>1808</v>
      </c>
      <c r="F305" s="0" t="n">
        <v>1</v>
      </c>
      <c r="G305" s="0" t="n">
        <v>1</v>
      </c>
      <c r="H305" s="0" t="n">
        <v>1</v>
      </c>
      <c r="I305" s="0" t="n">
        <v>76.92</v>
      </c>
      <c r="J305" s="0" t="n">
        <v>76.92</v>
      </c>
      <c r="K305" s="0" t="n">
        <v>51.57</v>
      </c>
      <c r="L305" s="0" t="n">
        <v>0.97</v>
      </c>
      <c r="M305" s="0" t="n">
        <v>0.97</v>
      </c>
      <c r="N305" s="0" t="n">
        <v>0.96</v>
      </c>
      <c r="O305" s="0" t="n">
        <v>4.6</v>
      </c>
      <c r="P305" s="0" t="n">
        <v>4.6</v>
      </c>
      <c r="Q305" s="0" t="n">
        <v>4.53</v>
      </c>
      <c r="R305" s="0" t="s">
        <v>479</v>
      </c>
      <c r="S305" s="0" t="s">
        <v>26</v>
      </c>
      <c r="T305" s="0" t="s">
        <v>26</v>
      </c>
      <c r="U305" s="0" t="s">
        <v>50</v>
      </c>
      <c r="V305" s="0" t="n">
        <f aca="false">(I305/100 + O305/5) / 2</f>
        <v>0.8446</v>
      </c>
      <c r="W305" s="0" t="n">
        <f aca="false">(J305/100 + P305/5) / 2</f>
        <v>0.8446</v>
      </c>
      <c r="X305" s="0" t="n">
        <f aca="false">(K305/100 + Q305/5) / 2</f>
        <v>0.71085</v>
      </c>
    </row>
    <row r="306" customFormat="false" ht="12.8" hidden="false" customHeight="false" outlineLevel="0" collapsed="false">
      <c r="A306" s="0" t="s">
        <v>1809</v>
      </c>
      <c r="B306" s="0" t="s">
        <v>1810</v>
      </c>
      <c r="C306" s="0" t="s">
        <v>1810</v>
      </c>
      <c r="D306" s="0" t="s">
        <v>1811</v>
      </c>
      <c r="E306" s="0" t="s">
        <v>1812</v>
      </c>
      <c r="F306" s="0" t="n">
        <v>1</v>
      </c>
      <c r="G306" s="0" t="n">
        <v>1</v>
      </c>
      <c r="H306" s="0" t="n">
        <v>1</v>
      </c>
      <c r="I306" s="0" t="n">
        <v>100</v>
      </c>
      <c r="J306" s="0" t="n">
        <v>100</v>
      </c>
      <c r="K306" s="0" t="n">
        <v>71.09</v>
      </c>
      <c r="L306" s="0" t="n">
        <v>0.99</v>
      </c>
      <c r="M306" s="0" t="n">
        <v>0.99</v>
      </c>
      <c r="N306" s="0" t="n">
        <v>0.97</v>
      </c>
      <c r="O306" s="0" t="n">
        <v>4.75</v>
      </c>
      <c r="P306" s="0" t="n">
        <v>4.75</v>
      </c>
      <c r="Q306" s="0" t="n">
        <v>4.69</v>
      </c>
      <c r="R306" s="0" t="s">
        <v>1813</v>
      </c>
      <c r="S306" s="0" t="s">
        <v>26</v>
      </c>
      <c r="T306" s="0" t="s">
        <v>26</v>
      </c>
      <c r="U306" s="0" t="s">
        <v>50</v>
      </c>
      <c r="V306" s="0" t="n">
        <f aca="false">(I306/100 + O306/5) / 2</f>
        <v>0.975</v>
      </c>
      <c r="W306" s="0" t="n">
        <f aca="false">(J306/100 + P306/5) / 2</f>
        <v>0.975</v>
      </c>
      <c r="X306" s="0" t="n">
        <f aca="false">(K306/100 + Q306/5) / 2</f>
        <v>0.82445</v>
      </c>
    </row>
    <row r="307" customFormat="false" ht="12.8" hidden="false" customHeight="false" outlineLevel="0" collapsed="false">
      <c r="A307" s="0" t="s">
        <v>1814</v>
      </c>
      <c r="B307" s="0" t="s">
        <v>1815</v>
      </c>
      <c r="C307" s="0" t="s">
        <v>1815</v>
      </c>
      <c r="D307" s="0" t="s">
        <v>1816</v>
      </c>
      <c r="E307" s="0" t="s">
        <v>1817</v>
      </c>
      <c r="F307" s="0" t="n">
        <v>0</v>
      </c>
      <c r="G307" s="0" t="n">
        <v>0</v>
      </c>
      <c r="H307" s="0" t="n">
        <v>0</v>
      </c>
      <c r="I307" s="0" t="n">
        <v>100</v>
      </c>
      <c r="J307" s="0" t="n">
        <v>100</v>
      </c>
      <c r="K307" s="0" t="n">
        <v>23.36</v>
      </c>
      <c r="L307" s="0" t="n">
        <v>0.98</v>
      </c>
      <c r="M307" s="0" t="n">
        <v>0.98</v>
      </c>
      <c r="N307" s="0" t="n">
        <v>0.82</v>
      </c>
      <c r="O307" s="0" t="n">
        <v>4.3</v>
      </c>
      <c r="P307" s="0" t="n">
        <v>4.3</v>
      </c>
      <c r="Q307" s="0" t="n">
        <v>4.52</v>
      </c>
      <c r="R307" s="0" t="s">
        <v>378</v>
      </c>
      <c r="S307" s="0" t="s">
        <v>378</v>
      </c>
      <c r="T307" s="0" t="s">
        <v>378</v>
      </c>
      <c r="U307" s="0" t="s">
        <v>54</v>
      </c>
      <c r="V307" s="0" t="n">
        <f aca="false">(I307/100 + O307/5) / 2</f>
        <v>0.93</v>
      </c>
      <c r="W307" s="0" t="n">
        <f aca="false">(J307/100 + P307/5) / 2</f>
        <v>0.93</v>
      </c>
      <c r="X307" s="0" t="n">
        <f aca="false">(K307/100 + Q307/5) / 2</f>
        <v>0.5688</v>
      </c>
    </row>
    <row r="308" customFormat="false" ht="12.8" hidden="false" customHeight="false" outlineLevel="0" collapsed="false">
      <c r="A308" s="0" t="s">
        <v>1818</v>
      </c>
      <c r="B308" s="0" t="s">
        <v>1819</v>
      </c>
      <c r="C308" s="0" t="s">
        <v>1820</v>
      </c>
      <c r="D308" s="0" t="s">
        <v>1821</v>
      </c>
      <c r="E308" s="0" t="s">
        <v>1822</v>
      </c>
      <c r="F308" s="0" t="n">
        <v>1</v>
      </c>
      <c r="G308" s="0" t="n">
        <v>1</v>
      </c>
      <c r="H308" s="0" t="n">
        <v>1</v>
      </c>
      <c r="I308" s="0" t="n">
        <v>72.93</v>
      </c>
      <c r="J308" s="0" t="n">
        <v>72.93</v>
      </c>
      <c r="K308" s="0" t="n">
        <v>54.91</v>
      </c>
      <c r="L308" s="0" t="n">
        <v>0.96</v>
      </c>
      <c r="M308" s="0" t="n">
        <v>0.96</v>
      </c>
      <c r="N308" s="0" t="n">
        <v>0.95</v>
      </c>
      <c r="O308" s="0" t="n">
        <v>4.76</v>
      </c>
      <c r="P308" s="0" t="n">
        <v>4.76</v>
      </c>
      <c r="Q308" s="0" t="n">
        <v>4.7</v>
      </c>
      <c r="R308" s="0" t="s">
        <v>1823</v>
      </c>
      <c r="S308" s="0" t="s">
        <v>26</v>
      </c>
      <c r="T308" s="0" t="s">
        <v>26</v>
      </c>
      <c r="U308" s="0" t="s">
        <v>50</v>
      </c>
      <c r="V308" s="0" t="n">
        <f aca="false">(I308/100 + O308/5) / 2</f>
        <v>0.84065</v>
      </c>
      <c r="W308" s="0" t="n">
        <f aca="false">(J308/100 + P308/5) / 2</f>
        <v>0.84065</v>
      </c>
      <c r="X308" s="0" t="n">
        <f aca="false">(K308/100 + Q308/5) / 2</f>
        <v>0.74455</v>
      </c>
    </row>
    <row r="309" customFormat="false" ht="12.8" hidden="false" customHeight="false" outlineLevel="0" collapsed="false">
      <c r="A309" s="0" t="s">
        <v>1824</v>
      </c>
      <c r="B309" s="0" t="s">
        <v>1825</v>
      </c>
      <c r="C309" s="0" t="s">
        <v>1825</v>
      </c>
      <c r="D309" s="0" t="s">
        <v>1826</v>
      </c>
      <c r="E309" s="0" t="s">
        <v>1827</v>
      </c>
      <c r="F309" s="0" t="n">
        <v>1</v>
      </c>
      <c r="G309" s="0" t="n">
        <v>1</v>
      </c>
      <c r="H309" s="0" t="n">
        <v>1</v>
      </c>
      <c r="I309" s="0" t="n">
        <v>100</v>
      </c>
      <c r="J309" s="0" t="n">
        <v>64.35</v>
      </c>
      <c r="K309" s="0" t="n">
        <v>28.64</v>
      </c>
      <c r="L309" s="0" t="n">
        <v>0.98</v>
      </c>
      <c r="M309" s="0" t="n">
        <v>0.9</v>
      </c>
      <c r="N309" s="0" t="n">
        <v>0.9</v>
      </c>
      <c r="O309" s="0" t="n">
        <v>4.76</v>
      </c>
      <c r="P309" s="0" t="n">
        <v>4.35</v>
      </c>
      <c r="Q309" s="0" t="n">
        <v>4.38</v>
      </c>
      <c r="R309" s="0" t="s">
        <v>1828</v>
      </c>
      <c r="S309" s="0" t="s">
        <v>286</v>
      </c>
      <c r="T309" s="0" t="s">
        <v>348</v>
      </c>
      <c r="U309" s="0" t="s">
        <v>28</v>
      </c>
      <c r="V309" s="0" t="n">
        <f aca="false">(I309/100 + O309/5) / 2</f>
        <v>0.976</v>
      </c>
      <c r="W309" s="0" t="n">
        <f aca="false">(J309/100 + P309/5) / 2</f>
        <v>0.75675</v>
      </c>
      <c r="X309" s="0" t="n">
        <f aca="false">(K309/100 + Q309/5) / 2</f>
        <v>0.5812</v>
      </c>
    </row>
    <row r="310" customFormat="false" ht="12.8" hidden="false" customHeight="false" outlineLevel="0" collapsed="false">
      <c r="A310" s="0" t="s">
        <v>1829</v>
      </c>
      <c r="B310" s="0" t="s">
        <v>1830</v>
      </c>
      <c r="C310" s="0" t="s">
        <v>1830</v>
      </c>
      <c r="D310" s="0" t="s">
        <v>1831</v>
      </c>
      <c r="E310" s="0" t="s">
        <v>1832</v>
      </c>
      <c r="F310" s="0" t="n">
        <v>1</v>
      </c>
      <c r="G310" s="0" t="n">
        <v>0</v>
      </c>
      <c r="H310" s="0" t="n">
        <v>1</v>
      </c>
      <c r="I310" s="0" t="n">
        <v>100</v>
      </c>
      <c r="J310" s="0" t="n">
        <v>24.45</v>
      </c>
      <c r="K310" s="0" t="n">
        <v>42.73</v>
      </c>
      <c r="L310" s="0" t="n">
        <v>0.98</v>
      </c>
      <c r="M310" s="0" t="n">
        <v>0.81</v>
      </c>
      <c r="N310" s="0" t="n">
        <v>0.92</v>
      </c>
      <c r="O310" s="0" t="n">
        <v>4.66</v>
      </c>
      <c r="P310" s="0" t="n">
        <v>3.67</v>
      </c>
      <c r="Q310" s="0" t="n">
        <v>4.59</v>
      </c>
      <c r="R310" s="0" t="s">
        <v>1833</v>
      </c>
      <c r="S310" s="0" t="s">
        <v>1834</v>
      </c>
      <c r="T310" s="0" t="s">
        <v>1835</v>
      </c>
      <c r="U310" s="0" t="s">
        <v>36</v>
      </c>
      <c r="V310" s="0" t="n">
        <f aca="false">(I310/100 + O310/5) / 2</f>
        <v>0.966</v>
      </c>
      <c r="W310" s="0" t="n">
        <f aca="false">(J310/100 + P310/5) / 2</f>
        <v>0.48925</v>
      </c>
      <c r="X310" s="0" t="n">
        <f aca="false">(K310/100 + Q310/5) / 2</f>
        <v>0.67265</v>
      </c>
    </row>
    <row r="311" customFormat="false" ht="12.8" hidden="false" customHeight="false" outlineLevel="0" collapsed="false">
      <c r="A311" s="0" t="s">
        <v>1836</v>
      </c>
      <c r="B311" s="0" t="s">
        <v>1837</v>
      </c>
      <c r="C311" s="0" t="s">
        <v>1838</v>
      </c>
      <c r="D311" s="0" t="s">
        <v>1839</v>
      </c>
      <c r="E311" s="0" t="s">
        <v>1840</v>
      </c>
      <c r="F311" s="0" t="n">
        <v>0</v>
      </c>
      <c r="G311" s="0" t="n">
        <v>1</v>
      </c>
      <c r="H311" s="0" t="n">
        <v>0</v>
      </c>
      <c r="I311" s="0" t="n">
        <v>70.71</v>
      </c>
      <c r="J311" s="0" t="n">
        <v>100</v>
      </c>
      <c r="K311" s="0" t="n">
        <v>22.77</v>
      </c>
      <c r="L311" s="0" t="n">
        <v>0.96</v>
      </c>
      <c r="M311" s="0" t="n">
        <v>0.99</v>
      </c>
      <c r="N311" s="0" t="n">
        <v>0.81</v>
      </c>
      <c r="O311" s="0" t="n">
        <v>4.32</v>
      </c>
      <c r="P311" s="0" t="n">
        <v>4.43</v>
      </c>
      <c r="Q311" s="0" t="n">
        <v>3.97</v>
      </c>
      <c r="R311" s="0" t="s">
        <v>1841</v>
      </c>
      <c r="S311" s="0" t="s">
        <v>1842</v>
      </c>
      <c r="T311" s="0" t="s">
        <v>1843</v>
      </c>
      <c r="U311" s="0" t="s">
        <v>36</v>
      </c>
      <c r="V311" s="0" t="n">
        <f aca="false">(I311/100 + O311/5) / 2</f>
        <v>0.78555</v>
      </c>
      <c r="W311" s="0" t="n">
        <f aca="false">(J311/100 + P311/5) / 2</f>
        <v>0.943</v>
      </c>
      <c r="X311" s="0" t="n">
        <f aca="false">(K311/100 + Q311/5) / 2</f>
        <v>0.51085</v>
      </c>
    </row>
    <row r="312" customFormat="false" ht="12.8" hidden="false" customHeight="false" outlineLevel="0" collapsed="false">
      <c r="A312" s="0" t="s">
        <v>1844</v>
      </c>
      <c r="B312" s="0" t="s">
        <v>1845</v>
      </c>
      <c r="C312" s="0" t="s">
        <v>1845</v>
      </c>
      <c r="D312" s="0" t="s">
        <v>1846</v>
      </c>
      <c r="E312" s="0" t="s">
        <v>1847</v>
      </c>
      <c r="F312" s="0" t="n">
        <v>1</v>
      </c>
      <c r="G312" s="0" t="n">
        <v>1</v>
      </c>
      <c r="H312" s="0" t="n">
        <v>0</v>
      </c>
      <c r="I312" s="0" t="n">
        <v>100</v>
      </c>
      <c r="J312" s="0" t="n">
        <v>100</v>
      </c>
      <c r="K312" s="0" t="n">
        <v>5.11</v>
      </c>
      <c r="L312" s="0" t="n">
        <v>0.99</v>
      </c>
      <c r="M312" s="0" t="n">
        <v>0.99</v>
      </c>
      <c r="N312" s="0" t="n">
        <v>0.92</v>
      </c>
      <c r="O312" s="0" t="n">
        <v>4.91</v>
      </c>
      <c r="P312" s="0" t="n">
        <v>4.91</v>
      </c>
      <c r="Q312" s="0" t="n">
        <v>4.5</v>
      </c>
      <c r="R312" s="0" t="s">
        <v>327</v>
      </c>
      <c r="S312" s="0" t="s">
        <v>1848</v>
      </c>
      <c r="T312" s="0" t="s">
        <v>1849</v>
      </c>
      <c r="U312" s="0" t="s">
        <v>36</v>
      </c>
      <c r="V312" s="0" t="n">
        <f aca="false">(I312/100 + O312/5) / 2</f>
        <v>0.991</v>
      </c>
      <c r="W312" s="0" t="n">
        <f aca="false">(J312/100 + P312/5) / 2</f>
        <v>0.991</v>
      </c>
      <c r="X312" s="0" t="n">
        <f aca="false">(K312/100 + Q312/5) / 2</f>
        <v>0.47555</v>
      </c>
    </row>
    <row r="313" customFormat="false" ht="12.8" hidden="false" customHeight="false" outlineLevel="0" collapsed="false">
      <c r="A313" s="0" t="s">
        <v>1850</v>
      </c>
      <c r="B313" s="0" t="s">
        <v>1851</v>
      </c>
      <c r="C313" s="0" t="s">
        <v>1852</v>
      </c>
      <c r="D313" s="0" t="s">
        <v>1853</v>
      </c>
      <c r="E313" s="0" t="s">
        <v>1854</v>
      </c>
      <c r="F313" s="0" t="n">
        <v>1</v>
      </c>
      <c r="G313" s="0" t="n">
        <v>0</v>
      </c>
      <c r="H313" s="0" t="n">
        <v>1</v>
      </c>
      <c r="I313" s="0" t="n">
        <v>23.64</v>
      </c>
      <c r="J313" s="0" t="n">
        <v>17.97</v>
      </c>
      <c r="K313" s="0" t="n">
        <v>66.87</v>
      </c>
      <c r="L313" s="0" t="n">
        <v>0.8</v>
      </c>
      <c r="M313" s="0" t="n">
        <v>0.75</v>
      </c>
      <c r="N313" s="0" t="n">
        <v>0.9</v>
      </c>
      <c r="O313" s="0" t="n">
        <v>4.38</v>
      </c>
      <c r="P313" s="0" t="n">
        <v>4.41</v>
      </c>
      <c r="Q313" s="0" t="n">
        <v>4.49</v>
      </c>
      <c r="R313" s="0" t="s">
        <v>1855</v>
      </c>
      <c r="S313" s="0" t="s">
        <v>1856</v>
      </c>
      <c r="T313" s="0" t="s">
        <v>573</v>
      </c>
      <c r="U313" s="0" t="s">
        <v>36</v>
      </c>
      <c r="V313" s="0" t="n">
        <f aca="false">(I313/100 + O313/5) / 2</f>
        <v>0.5562</v>
      </c>
      <c r="W313" s="0" t="n">
        <f aca="false">(J313/100 + P313/5) / 2</f>
        <v>0.53085</v>
      </c>
      <c r="X313" s="0" t="n">
        <f aca="false">(K313/100 + Q313/5) / 2</f>
        <v>0.78335</v>
      </c>
    </row>
    <row r="314" customFormat="false" ht="12.8" hidden="false" customHeight="false" outlineLevel="0" collapsed="false">
      <c r="A314" s="0" t="s">
        <v>1857</v>
      </c>
      <c r="B314" s="0" t="s">
        <v>1858</v>
      </c>
      <c r="C314" s="0" t="s">
        <v>1859</v>
      </c>
      <c r="D314" s="0" t="s">
        <v>1860</v>
      </c>
      <c r="E314" s="0" t="s">
        <v>1861</v>
      </c>
      <c r="F314" s="0" t="n">
        <v>1</v>
      </c>
      <c r="G314" s="0" t="n">
        <v>1</v>
      </c>
      <c r="H314" s="0" t="n">
        <v>1</v>
      </c>
      <c r="I314" s="0" t="n">
        <v>53.73</v>
      </c>
      <c r="J314" s="0" t="n">
        <v>53.73</v>
      </c>
      <c r="K314" s="0" t="n">
        <v>17.97</v>
      </c>
      <c r="L314" s="0" t="n">
        <v>0.93</v>
      </c>
      <c r="M314" s="0" t="n">
        <v>0.93</v>
      </c>
      <c r="N314" s="0" t="n">
        <v>0.9</v>
      </c>
      <c r="O314" s="0" t="n">
        <v>4.14</v>
      </c>
      <c r="P314" s="0" t="n">
        <v>4.14</v>
      </c>
      <c r="Q314" s="0" t="n">
        <v>3.28</v>
      </c>
      <c r="R314" s="0" t="s">
        <v>1862</v>
      </c>
      <c r="S314" s="0" t="s">
        <v>92</v>
      </c>
      <c r="T314" s="0" t="s">
        <v>1863</v>
      </c>
      <c r="U314" s="0" t="s">
        <v>28</v>
      </c>
      <c r="V314" s="0" t="n">
        <f aca="false">(I314/100 + O314/5) / 2</f>
        <v>0.68265</v>
      </c>
      <c r="W314" s="0" t="n">
        <f aca="false">(J314/100 + P314/5) / 2</f>
        <v>0.68265</v>
      </c>
      <c r="X314" s="0" t="n">
        <f aca="false">(K314/100 + Q314/5) / 2</f>
        <v>0.41785</v>
      </c>
    </row>
    <row r="315" customFormat="false" ht="12.8" hidden="false" customHeight="false" outlineLevel="0" collapsed="false">
      <c r="A315" s="0" t="s">
        <v>1864</v>
      </c>
      <c r="B315" s="0" t="s">
        <v>1865</v>
      </c>
      <c r="C315" s="0" t="s">
        <v>1865</v>
      </c>
      <c r="D315" s="0" t="s">
        <v>1866</v>
      </c>
      <c r="E315" s="0" t="s">
        <v>1867</v>
      </c>
      <c r="F315" s="0" t="n">
        <v>1</v>
      </c>
      <c r="G315" s="0" t="n">
        <v>0</v>
      </c>
      <c r="H315" s="0" t="n">
        <v>1</v>
      </c>
      <c r="I315" s="0" t="n">
        <v>100</v>
      </c>
      <c r="J315" s="0" t="n">
        <v>75.98</v>
      </c>
      <c r="K315" s="0" t="n">
        <v>32.47</v>
      </c>
      <c r="L315" s="0" t="n">
        <v>0.99</v>
      </c>
      <c r="M315" s="0" t="n">
        <v>0.93</v>
      </c>
      <c r="N315" s="0" t="n">
        <v>0.95</v>
      </c>
      <c r="O315" s="0" t="n">
        <v>4.91</v>
      </c>
      <c r="P315" s="0" t="n">
        <v>3.95</v>
      </c>
      <c r="Q315" s="0" t="n">
        <v>4.45</v>
      </c>
      <c r="R315" s="0" t="s">
        <v>1868</v>
      </c>
      <c r="S315" s="0" t="s">
        <v>1869</v>
      </c>
      <c r="T315" s="0" t="s">
        <v>1306</v>
      </c>
      <c r="U315" s="0" t="s">
        <v>93</v>
      </c>
      <c r="V315" s="0" t="n">
        <f aca="false">(I315/100 + O315/5) / 2</f>
        <v>0.991</v>
      </c>
      <c r="W315" s="0" t="n">
        <f aca="false">(J315/100 + P315/5) / 2</f>
        <v>0.7749</v>
      </c>
      <c r="X315" s="0" t="n">
        <f aca="false">(K315/100 + Q315/5) / 2</f>
        <v>0.60735</v>
      </c>
    </row>
    <row r="316" customFormat="false" ht="12.8" hidden="false" customHeight="false" outlineLevel="0" collapsed="false">
      <c r="A316" s="0" t="s">
        <v>1870</v>
      </c>
      <c r="B316" s="0" t="s">
        <v>1871</v>
      </c>
      <c r="C316" s="0" t="s">
        <v>1871</v>
      </c>
      <c r="D316" s="0" t="s">
        <v>1872</v>
      </c>
      <c r="E316" s="0" t="s">
        <v>1873</v>
      </c>
      <c r="F316" s="0" t="n">
        <v>1</v>
      </c>
      <c r="G316" s="0" t="n">
        <v>1</v>
      </c>
      <c r="H316" s="0" t="n">
        <v>1</v>
      </c>
      <c r="I316" s="0" t="n">
        <v>100</v>
      </c>
      <c r="J316" s="0" t="n">
        <v>100</v>
      </c>
      <c r="K316" s="0" t="n">
        <v>59.46</v>
      </c>
      <c r="L316" s="0" t="n">
        <v>0.99</v>
      </c>
      <c r="M316" s="0" t="n">
        <v>0.99</v>
      </c>
      <c r="N316" s="0" t="n">
        <v>0.98</v>
      </c>
      <c r="O316" s="0" t="n">
        <v>4.89</v>
      </c>
      <c r="P316" s="0" t="n">
        <v>4.89</v>
      </c>
      <c r="Q316" s="0" t="n">
        <v>4.75</v>
      </c>
      <c r="R316" s="0" t="s">
        <v>25</v>
      </c>
      <c r="S316" s="0" t="s">
        <v>26</v>
      </c>
      <c r="T316" s="0" t="s">
        <v>92</v>
      </c>
      <c r="U316" s="0" t="s">
        <v>50</v>
      </c>
      <c r="V316" s="0" t="n">
        <f aca="false">(I316/100 + O316/5) / 2</f>
        <v>0.989</v>
      </c>
      <c r="W316" s="0" t="n">
        <f aca="false">(J316/100 + P316/5) / 2</f>
        <v>0.989</v>
      </c>
      <c r="X316" s="0" t="n">
        <f aca="false">(K316/100 + Q316/5) / 2</f>
        <v>0.7723</v>
      </c>
    </row>
    <row r="317" customFormat="false" ht="12.8" hidden="false" customHeight="false" outlineLevel="0" collapsed="false">
      <c r="A317" s="0" t="s">
        <v>1874</v>
      </c>
      <c r="B317" s="0" t="s">
        <v>1875</v>
      </c>
      <c r="C317" s="0" t="s">
        <v>1876</v>
      </c>
      <c r="D317" s="0" t="s">
        <v>1877</v>
      </c>
      <c r="E317" s="0" t="s">
        <v>1878</v>
      </c>
      <c r="F317" s="0" t="n">
        <v>1</v>
      </c>
      <c r="G317" s="0" t="n">
        <v>0</v>
      </c>
      <c r="H317" s="0" t="n">
        <v>1</v>
      </c>
      <c r="I317" s="0" t="n">
        <v>80.91</v>
      </c>
      <c r="J317" s="0" t="n">
        <v>80.91</v>
      </c>
      <c r="K317" s="0" t="n">
        <v>61.48</v>
      </c>
      <c r="L317" s="0" t="n">
        <v>0.94</v>
      </c>
      <c r="M317" s="0" t="n">
        <v>0.9</v>
      </c>
      <c r="N317" s="0" t="n">
        <v>0.92</v>
      </c>
      <c r="O317" s="0" t="n">
        <v>4.63</v>
      </c>
      <c r="P317" s="0" t="n">
        <v>4.5</v>
      </c>
      <c r="Q317" s="0" t="n">
        <v>4.59</v>
      </c>
      <c r="R317" s="0" t="s">
        <v>1879</v>
      </c>
      <c r="S317" s="0" t="s">
        <v>1880</v>
      </c>
      <c r="T317" s="0" t="s">
        <v>1881</v>
      </c>
      <c r="U317" s="0" t="s">
        <v>28</v>
      </c>
      <c r="V317" s="0" t="n">
        <f aca="false">(I317/100 + O317/5) / 2</f>
        <v>0.86755</v>
      </c>
      <c r="W317" s="0" t="n">
        <f aca="false">(J317/100 + P317/5) / 2</f>
        <v>0.85455</v>
      </c>
      <c r="X317" s="0" t="n">
        <f aca="false">(K317/100 + Q317/5) / 2</f>
        <v>0.7664</v>
      </c>
    </row>
    <row r="318" customFormat="false" ht="12.8" hidden="false" customHeight="false" outlineLevel="0" collapsed="false">
      <c r="A318" s="0" t="s">
        <v>1882</v>
      </c>
      <c r="B318" s="0" t="s">
        <v>1883</v>
      </c>
      <c r="C318" s="0" t="s">
        <v>1884</v>
      </c>
      <c r="D318" s="0" t="s">
        <v>1885</v>
      </c>
      <c r="E318" s="0" t="s">
        <v>1886</v>
      </c>
      <c r="F318" s="0" t="n">
        <v>1</v>
      </c>
      <c r="G318" s="0" t="n">
        <v>1</v>
      </c>
      <c r="H318" s="0" t="n">
        <v>1</v>
      </c>
      <c r="I318" s="0" t="n">
        <v>61.05</v>
      </c>
      <c r="J318" s="0" t="n">
        <v>100</v>
      </c>
      <c r="K318" s="0" t="n">
        <v>62.4</v>
      </c>
      <c r="L318" s="0" t="n">
        <v>0.89</v>
      </c>
      <c r="M318" s="0" t="n">
        <v>0.97</v>
      </c>
      <c r="N318" s="0" t="n">
        <v>0.92</v>
      </c>
      <c r="O318" s="0" t="n">
        <v>4.04</v>
      </c>
      <c r="P318" s="0" t="n">
        <v>4.67</v>
      </c>
      <c r="Q318" s="0" t="n">
        <v>4.44</v>
      </c>
      <c r="R318" s="0" t="s">
        <v>1887</v>
      </c>
      <c r="S318" s="0" t="s">
        <v>187</v>
      </c>
      <c r="T318" s="0" t="s">
        <v>1059</v>
      </c>
      <c r="U318" s="0" t="s">
        <v>28</v>
      </c>
      <c r="V318" s="0" t="n">
        <f aca="false">(I318/100 + O318/5) / 2</f>
        <v>0.70925</v>
      </c>
      <c r="W318" s="0" t="n">
        <f aca="false">(J318/100 + P318/5) / 2</f>
        <v>0.967</v>
      </c>
      <c r="X318" s="0" t="n">
        <f aca="false">(K318/100 + Q318/5) / 2</f>
        <v>0.756</v>
      </c>
    </row>
    <row r="319" customFormat="false" ht="12.8" hidden="false" customHeight="false" outlineLevel="0" collapsed="false">
      <c r="A319" s="0" t="s">
        <v>1888</v>
      </c>
      <c r="B319" s="0" t="s">
        <v>1889</v>
      </c>
      <c r="C319" s="0" t="s">
        <v>1890</v>
      </c>
      <c r="D319" s="0" t="s">
        <v>1891</v>
      </c>
      <c r="E319" s="0" t="s">
        <v>1892</v>
      </c>
      <c r="F319" s="0" t="n">
        <v>1</v>
      </c>
      <c r="G319" s="0" t="n">
        <v>1</v>
      </c>
      <c r="H319" s="0" t="n">
        <v>0</v>
      </c>
      <c r="I319" s="0" t="n">
        <v>59.46</v>
      </c>
      <c r="J319" s="0" t="n">
        <v>59.46</v>
      </c>
      <c r="K319" s="0" t="n">
        <v>16.52</v>
      </c>
      <c r="L319" s="0" t="n">
        <v>0.97</v>
      </c>
      <c r="M319" s="0" t="n">
        <v>0.97</v>
      </c>
      <c r="N319" s="0" t="n">
        <v>0.93</v>
      </c>
      <c r="O319" s="0" t="n">
        <v>4.29</v>
      </c>
      <c r="P319" s="0" t="n">
        <v>4.29</v>
      </c>
      <c r="Q319" s="0" t="n">
        <v>4.16</v>
      </c>
      <c r="R319" s="0" t="s">
        <v>1893</v>
      </c>
      <c r="S319" s="0" t="s">
        <v>833</v>
      </c>
      <c r="T319" s="0" t="s">
        <v>60</v>
      </c>
      <c r="U319" s="0" t="s">
        <v>36</v>
      </c>
      <c r="V319" s="0" t="n">
        <f aca="false">(I319/100 + O319/5) / 2</f>
        <v>0.7263</v>
      </c>
      <c r="W319" s="0" t="n">
        <f aca="false">(J319/100 + P319/5) / 2</f>
        <v>0.7263</v>
      </c>
      <c r="X319" s="0" t="n">
        <f aca="false">(K319/100 + Q319/5) / 2</f>
        <v>0.4986</v>
      </c>
    </row>
    <row r="320" customFormat="false" ht="12.8" hidden="false" customHeight="false" outlineLevel="0" collapsed="false">
      <c r="A320" s="0" t="s">
        <v>1894</v>
      </c>
      <c r="B320" s="0" t="s">
        <v>1895</v>
      </c>
      <c r="C320" s="0" t="s">
        <v>1896</v>
      </c>
      <c r="D320" s="0" t="s">
        <v>1897</v>
      </c>
      <c r="E320" s="0" t="s">
        <v>1898</v>
      </c>
      <c r="F320" s="0" t="n">
        <v>0</v>
      </c>
      <c r="G320" s="0" t="n">
        <v>0</v>
      </c>
      <c r="H320" s="0" t="n">
        <v>1</v>
      </c>
      <c r="I320" s="0" t="n">
        <v>75.06</v>
      </c>
      <c r="J320" s="0" t="n">
        <v>70.71</v>
      </c>
      <c r="K320" s="0" t="n">
        <v>100</v>
      </c>
      <c r="L320" s="0" t="n">
        <v>0.97</v>
      </c>
      <c r="M320" s="0" t="n">
        <v>0.97</v>
      </c>
      <c r="N320" s="0" t="n">
        <v>0.99</v>
      </c>
      <c r="O320" s="0" t="n">
        <v>4.69</v>
      </c>
      <c r="P320" s="0" t="n">
        <v>4.59</v>
      </c>
      <c r="Q320" s="0" t="n">
        <v>4.65</v>
      </c>
      <c r="R320" s="0" t="s">
        <v>1899</v>
      </c>
      <c r="S320" s="0" t="s">
        <v>1900</v>
      </c>
      <c r="T320" s="0" t="s">
        <v>1901</v>
      </c>
      <c r="U320" s="0" t="s">
        <v>36</v>
      </c>
      <c r="V320" s="0" t="n">
        <f aca="false">(I320/100 + O320/5) / 2</f>
        <v>0.8443</v>
      </c>
      <c r="W320" s="0" t="n">
        <f aca="false">(J320/100 + P320/5) / 2</f>
        <v>0.81255</v>
      </c>
      <c r="X320" s="0" t="n">
        <f aca="false">(K320/100 + Q320/5) / 2</f>
        <v>0.965</v>
      </c>
    </row>
    <row r="321" customFormat="false" ht="12.8" hidden="false" customHeight="false" outlineLevel="0" collapsed="false">
      <c r="A321" s="0" t="s">
        <v>1902</v>
      </c>
      <c r="B321" s="0" t="s">
        <v>1903</v>
      </c>
      <c r="C321" s="0" t="s">
        <v>1903</v>
      </c>
      <c r="D321" s="0" t="s">
        <v>1904</v>
      </c>
      <c r="E321" s="0" t="s">
        <v>1905</v>
      </c>
      <c r="F321" s="0" t="n">
        <v>1</v>
      </c>
      <c r="G321" s="0" t="n">
        <v>1</v>
      </c>
      <c r="H321" s="0" t="n">
        <v>1</v>
      </c>
      <c r="I321" s="0" t="n">
        <v>100</v>
      </c>
      <c r="J321" s="0" t="n">
        <v>100</v>
      </c>
      <c r="K321" s="0" t="n">
        <v>61.48</v>
      </c>
      <c r="L321" s="0" t="n">
        <v>0.99</v>
      </c>
      <c r="M321" s="0" t="n">
        <v>0.99</v>
      </c>
      <c r="N321" s="0" t="n">
        <v>0.94</v>
      </c>
      <c r="O321" s="0" t="n">
        <v>4.82</v>
      </c>
      <c r="P321" s="0" t="n">
        <v>4.82</v>
      </c>
      <c r="Q321" s="0" t="n">
        <v>4.02</v>
      </c>
      <c r="R321" s="0" t="s">
        <v>1731</v>
      </c>
      <c r="S321" s="0" t="s">
        <v>188</v>
      </c>
      <c r="T321" s="0" t="s">
        <v>742</v>
      </c>
      <c r="U321" s="0" t="s">
        <v>28</v>
      </c>
      <c r="V321" s="0" t="n">
        <f aca="false">(I321/100 + O321/5) / 2</f>
        <v>0.982</v>
      </c>
      <c r="W321" s="0" t="n">
        <f aca="false">(J321/100 + P321/5) / 2</f>
        <v>0.982</v>
      </c>
      <c r="X321" s="0" t="n">
        <f aca="false">(K321/100 + Q321/5) / 2</f>
        <v>0.7094</v>
      </c>
    </row>
    <row r="322" customFormat="false" ht="12.8" hidden="false" customHeight="false" outlineLevel="0" collapsed="false">
      <c r="A322" s="0" t="s">
        <v>1906</v>
      </c>
      <c r="B322" s="0" t="s">
        <v>1907</v>
      </c>
      <c r="C322" s="0" t="s">
        <v>1908</v>
      </c>
      <c r="D322" s="0" t="s">
        <v>1909</v>
      </c>
      <c r="E322" s="0" t="s">
        <v>1910</v>
      </c>
      <c r="F322" s="0" t="n">
        <v>1</v>
      </c>
      <c r="G322" s="0" t="n">
        <v>0</v>
      </c>
      <c r="H322" s="0" t="n">
        <v>1</v>
      </c>
      <c r="I322" s="0" t="n">
        <v>55.8</v>
      </c>
      <c r="J322" s="0" t="n">
        <v>44.35</v>
      </c>
      <c r="K322" s="0" t="n">
        <v>63.61</v>
      </c>
      <c r="L322" s="0" t="n">
        <v>0.91</v>
      </c>
      <c r="M322" s="0" t="n">
        <v>0.84</v>
      </c>
      <c r="N322" s="0" t="n">
        <v>0.89</v>
      </c>
      <c r="O322" s="0" t="n">
        <v>4.83</v>
      </c>
      <c r="P322" s="0" t="n">
        <v>4.59</v>
      </c>
      <c r="Q322" s="0" t="n">
        <v>4.84</v>
      </c>
      <c r="R322" s="0" t="s">
        <v>1911</v>
      </c>
      <c r="S322" s="0" t="s">
        <v>1912</v>
      </c>
      <c r="T322" s="0" t="s">
        <v>1913</v>
      </c>
      <c r="U322" s="0" t="s">
        <v>36</v>
      </c>
      <c r="V322" s="0" t="n">
        <f aca="false">(I322/100 + O322/5) / 2</f>
        <v>0.762</v>
      </c>
      <c r="W322" s="0" t="n">
        <f aca="false">(J322/100 + P322/5) / 2</f>
        <v>0.68075</v>
      </c>
      <c r="X322" s="0" t="n">
        <f aca="false">(K322/100 + Q322/5) / 2</f>
        <v>0.80205</v>
      </c>
    </row>
    <row r="323" customFormat="false" ht="12.8" hidden="false" customHeight="false" outlineLevel="0" collapsed="false">
      <c r="A323" s="0" t="s">
        <v>1914</v>
      </c>
      <c r="B323" s="0" t="s">
        <v>1915</v>
      </c>
      <c r="C323" s="0" t="s">
        <v>1916</v>
      </c>
      <c r="D323" s="0" t="s">
        <v>1917</v>
      </c>
      <c r="E323" s="0" t="s">
        <v>1918</v>
      </c>
      <c r="F323" s="0" t="n">
        <v>1</v>
      </c>
      <c r="G323" s="0" t="n">
        <v>0</v>
      </c>
      <c r="H323" s="0" t="n">
        <v>0</v>
      </c>
      <c r="I323" s="0" t="n">
        <v>50</v>
      </c>
      <c r="J323" s="0" t="n">
        <v>41.11</v>
      </c>
      <c r="K323" s="0" t="n">
        <v>11.34</v>
      </c>
      <c r="L323" s="0" t="n">
        <v>0.97</v>
      </c>
      <c r="M323" s="0" t="n">
        <v>0.93</v>
      </c>
      <c r="N323" s="0" t="n">
        <v>0.9</v>
      </c>
      <c r="O323" s="0" t="n">
        <v>4.6</v>
      </c>
      <c r="P323" s="0" t="n">
        <v>4.4</v>
      </c>
      <c r="Q323" s="0" t="n">
        <v>4.03</v>
      </c>
      <c r="R323" s="0" t="s">
        <v>1919</v>
      </c>
      <c r="S323" s="0" t="s">
        <v>1790</v>
      </c>
      <c r="T323" s="0" t="s">
        <v>1920</v>
      </c>
      <c r="U323" s="0" t="s">
        <v>36</v>
      </c>
      <c r="V323" s="0" t="n">
        <f aca="false">(I323/100 + O323/5) / 2</f>
        <v>0.71</v>
      </c>
      <c r="W323" s="0" t="n">
        <f aca="false">(J323/100 + P323/5) / 2</f>
        <v>0.64555</v>
      </c>
      <c r="X323" s="0" t="n">
        <f aca="false">(K323/100 + Q323/5) / 2</f>
        <v>0.4597</v>
      </c>
    </row>
    <row r="324" customFormat="false" ht="12.8" hidden="false" customHeight="false" outlineLevel="0" collapsed="false">
      <c r="A324" s="0" t="s">
        <v>1921</v>
      </c>
      <c r="B324" s="0" t="s">
        <v>1922</v>
      </c>
      <c r="C324" s="0" t="s">
        <v>1923</v>
      </c>
      <c r="D324" s="0" t="s">
        <v>1924</v>
      </c>
      <c r="E324" s="0" t="s">
        <v>1925</v>
      </c>
      <c r="F324" s="0" t="n">
        <v>1</v>
      </c>
      <c r="G324" s="0" t="n">
        <v>1</v>
      </c>
      <c r="H324" s="0" t="n">
        <v>0</v>
      </c>
      <c r="I324" s="0" t="n">
        <v>67.04</v>
      </c>
      <c r="J324" s="0" t="n">
        <v>100</v>
      </c>
      <c r="K324" s="0" t="n">
        <v>69.13</v>
      </c>
      <c r="L324" s="0" t="n">
        <v>0.95</v>
      </c>
      <c r="M324" s="0" t="n">
        <v>0.98</v>
      </c>
      <c r="N324" s="0" t="n">
        <v>0.87</v>
      </c>
      <c r="O324" s="0" t="n">
        <v>4.82</v>
      </c>
      <c r="P324" s="0" t="n">
        <v>4.8</v>
      </c>
      <c r="Q324" s="0" t="n">
        <v>4.62</v>
      </c>
      <c r="R324" s="0" t="s">
        <v>1298</v>
      </c>
      <c r="S324" s="0" t="s">
        <v>1604</v>
      </c>
      <c r="T324" s="0" t="s">
        <v>1926</v>
      </c>
      <c r="U324" s="0" t="s">
        <v>36</v>
      </c>
      <c r="V324" s="0" t="n">
        <f aca="false">(I324/100 + O324/5) / 2</f>
        <v>0.8172</v>
      </c>
      <c r="W324" s="0" t="n">
        <f aca="false">(J324/100 + P324/5) / 2</f>
        <v>0.98</v>
      </c>
      <c r="X324" s="0" t="n">
        <f aca="false">(K324/100 + Q324/5) / 2</f>
        <v>0.80765</v>
      </c>
    </row>
    <row r="325" customFormat="false" ht="12.8" hidden="false" customHeight="false" outlineLevel="0" collapsed="false">
      <c r="A325" s="0" t="s">
        <v>1927</v>
      </c>
      <c r="B325" s="0" t="s">
        <v>1928</v>
      </c>
      <c r="C325" s="0" t="s">
        <v>1928</v>
      </c>
      <c r="D325" s="0" t="s">
        <v>1929</v>
      </c>
      <c r="E325" s="0" t="s">
        <v>1930</v>
      </c>
      <c r="F325" s="0" t="n">
        <v>1</v>
      </c>
      <c r="G325" s="0" t="n">
        <v>1</v>
      </c>
      <c r="H325" s="0" t="n">
        <v>0</v>
      </c>
      <c r="I325" s="0" t="n">
        <v>100</v>
      </c>
      <c r="J325" s="0" t="n">
        <v>100</v>
      </c>
      <c r="K325" s="0" t="n">
        <v>45.48</v>
      </c>
      <c r="L325" s="0" t="n">
        <v>0.98</v>
      </c>
      <c r="M325" s="0" t="n">
        <v>0.98</v>
      </c>
      <c r="N325" s="0" t="n">
        <v>0.9</v>
      </c>
      <c r="O325" s="0" t="n">
        <v>4.84</v>
      </c>
      <c r="P325" s="0" t="n">
        <v>4.84</v>
      </c>
      <c r="Q325" s="0" t="n">
        <v>4.57</v>
      </c>
      <c r="R325" s="0" t="s">
        <v>1931</v>
      </c>
      <c r="S325" s="0" t="s">
        <v>1932</v>
      </c>
      <c r="T325" s="0" t="s">
        <v>1933</v>
      </c>
      <c r="U325" s="0" t="s">
        <v>36</v>
      </c>
      <c r="V325" s="0" t="n">
        <f aca="false">(I325/100 + O325/5) / 2</f>
        <v>0.984</v>
      </c>
      <c r="W325" s="0" t="n">
        <f aca="false">(J325/100 + P325/5) / 2</f>
        <v>0.984</v>
      </c>
      <c r="X325" s="0" t="n">
        <f aca="false">(K325/100 + Q325/5) / 2</f>
        <v>0.6844</v>
      </c>
    </row>
    <row r="326" customFormat="false" ht="12.8" hidden="false" customHeight="false" outlineLevel="0" collapsed="false">
      <c r="A326" s="0" t="s">
        <v>1934</v>
      </c>
      <c r="B326" s="0" t="s">
        <v>1935</v>
      </c>
      <c r="C326" s="0" t="s">
        <v>1935</v>
      </c>
      <c r="D326" s="0" t="s">
        <v>1936</v>
      </c>
      <c r="E326" s="0" t="s">
        <v>1936</v>
      </c>
      <c r="F326" s="0" t="n">
        <v>1</v>
      </c>
      <c r="G326" s="0" t="n">
        <v>1</v>
      </c>
      <c r="H326" s="0" t="n">
        <v>1</v>
      </c>
      <c r="I326" s="0" t="n">
        <v>100</v>
      </c>
      <c r="J326" s="0" t="n">
        <v>100</v>
      </c>
      <c r="K326" s="0" t="n">
        <v>100</v>
      </c>
      <c r="L326" s="0" t="n">
        <v>0.99</v>
      </c>
      <c r="M326" s="0" t="n">
        <v>0.99</v>
      </c>
      <c r="N326" s="0" t="n">
        <v>0.99</v>
      </c>
      <c r="O326" s="0" t="n">
        <v>4.76</v>
      </c>
      <c r="P326" s="0" t="n">
        <v>4.76</v>
      </c>
      <c r="Q326" s="0" t="n">
        <v>4.76</v>
      </c>
      <c r="R326" s="0" t="s">
        <v>26</v>
      </c>
      <c r="S326" s="0" t="s">
        <v>26</v>
      </c>
      <c r="T326" s="0" t="s">
        <v>26</v>
      </c>
      <c r="U326" s="0" t="s">
        <v>54</v>
      </c>
      <c r="V326" s="0" t="n">
        <f aca="false">(I326/100 + O326/5) / 2</f>
        <v>0.976</v>
      </c>
      <c r="W326" s="0" t="n">
        <f aca="false">(J326/100 + P326/5) / 2</f>
        <v>0.976</v>
      </c>
      <c r="X326" s="0" t="n">
        <f aca="false">(K326/100 + Q326/5) / 2</f>
        <v>0.976</v>
      </c>
    </row>
    <row r="327" customFormat="false" ht="12.8" hidden="false" customHeight="false" outlineLevel="0" collapsed="false">
      <c r="A327" s="0" t="s">
        <v>1937</v>
      </c>
      <c r="B327" s="0" t="s">
        <v>1938</v>
      </c>
      <c r="C327" s="0" t="s">
        <v>1938</v>
      </c>
      <c r="D327" s="0" t="s">
        <v>1939</v>
      </c>
      <c r="E327" s="0" t="s">
        <v>1939</v>
      </c>
      <c r="F327" s="0" t="n">
        <v>1</v>
      </c>
      <c r="G327" s="0" t="n">
        <v>1</v>
      </c>
      <c r="H327" s="0" t="n">
        <v>1</v>
      </c>
      <c r="I327" s="0" t="n">
        <v>100</v>
      </c>
      <c r="J327" s="0" t="n">
        <v>100</v>
      </c>
      <c r="K327" s="0" t="n">
        <v>100</v>
      </c>
      <c r="L327" s="0" t="n">
        <v>0.96</v>
      </c>
      <c r="M327" s="0" t="n">
        <v>0.96</v>
      </c>
      <c r="N327" s="0" t="n">
        <v>0.96</v>
      </c>
      <c r="O327" s="0" t="n">
        <v>4.93</v>
      </c>
      <c r="P327" s="0" t="n">
        <v>4.93</v>
      </c>
      <c r="Q327" s="0" t="n">
        <v>4.93</v>
      </c>
      <c r="R327" s="0" t="s">
        <v>26</v>
      </c>
      <c r="S327" s="0" t="s">
        <v>26</v>
      </c>
      <c r="T327" s="0" t="s">
        <v>26</v>
      </c>
      <c r="U327" s="0" t="s">
        <v>54</v>
      </c>
      <c r="V327" s="0" t="n">
        <f aca="false">(I327/100 + O327/5) / 2</f>
        <v>0.993</v>
      </c>
      <c r="W327" s="0" t="n">
        <f aca="false">(J327/100 + P327/5) / 2</f>
        <v>0.993</v>
      </c>
      <c r="X327" s="0" t="n">
        <f aca="false">(K327/100 + Q327/5) / 2</f>
        <v>0.993</v>
      </c>
    </row>
    <row r="328" customFormat="false" ht="12.8" hidden="false" customHeight="false" outlineLevel="0" collapsed="false">
      <c r="A328" s="0" t="s">
        <v>1940</v>
      </c>
      <c r="B328" s="0" t="s">
        <v>1941</v>
      </c>
      <c r="C328" s="0" t="s">
        <v>1941</v>
      </c>
      <c r="D328" s="0" t="s">
        <v>1942</v>
      </c>
      <c r="E328" s="0" t="s">
        <v>1942</v>
      </c>
      <c r="F328" s="0" t="n">
        <v>1</v>
      </c>
      <c r="G328" s="0" t="n">
        <v>1</v>
      </c>
      <c r="H328" s="0" t="n">
        <v>1</v>
      </c>
      <c r="I328" s="0" t="n">
        <v>100</v>
      </c>
      <c r="J328" s="0" t="n">
        <v>100</v>
      </c>
      <c r="K328" s="0" t="n">
        <v>100</v>
      </c>
      <c r="L328" s="0" t="n">
        <v>0.98</v>
      </c>
      <c r="M328" s="0" t="n">
        <v>0.98</v>
      </c>
      <c r="N328" s="0" t="n">
        <v>0.98</v>
      </c>
      <c r="O328" s="0" t="n">
        <v>4.43</v>
      </c>
      <c r="P328" s="0" t="n">
        <v>4.43</v>
      </c>
      <c r="Q328" s="0" t="n">
        <v>4.43</v>
      </c>
      <c r="R328" s="0" t="s">
        <v>26</v>
      </c>
      <c r="S328" s="0" t="s">
        <v>26</v>
      </c>
      <c r="T328" s="0" t="s">
        <v>26</v>
      </c>
      <c r="U328" s="0" t="s">
        <v>54</v>
      </c>
      <c r="V328" s="0" t="n">
        <f aca="false">(I328/100 + O328/5) / 2</f>
        <v>0.943</v>
      </c>
      <c r="W328" s="0" t="n">
        <f aca="false">(J328/100 + P328/5) / 2</f>
        <v>0.943</v>
      </c>
      <c r="X328" s="0" t="n">
        <f aca="false">(K328/100 + Q328/5) / 2</f>
        <v>0.943</v>
      </c>
    </row>
    <row r="329" customFormat="false" ht="12.8" hidden="false" customHeight="false" outlineLevel="0" collapsed="false">
      <c r="A329" s="0" t="s">
        <v>1943</v>
      </c>
      <c r="B329" s="0" t="s">
        <v>1944</v>
      </c>
      <c r="C329" s="0" t="s">
        <v>1945</v>
      </c>
      <c r="D329" s="0" t="s">
        <v>1946</v>
      </c>
      <c r="E329" s="0" t="s">
        <v>1947</v>
      </c>
      <c r="F329" s="0" t="n">
        <v>1</v>
      </c>
      <c r="G329" s="0" t="n">
        <v>1</v>
      </c>
      <c r="H329" s="0" t="n">
        <v>1</v>
      </c>
      <c r="I329" s="0" t="n">
        <v>73.49</v>
      </c>
      <c r="J329" s="0" t="n">
        <v>38.83</v>
      </c>
      <c r="K329" s="0" t="n">
        <v>46.6</v>
      </c>
      <c r="L329" s="0" t="n">
        <v>0.97</v>
      </c>
      <c r="M329" s="0" t="n">
        <v>0.94</v>
      </c>
      <c r="N329" s="0" t="n">
        <v>0.96</v>
      </c>
      <c r="O329" s="0" t="n">
        <v>5.09</v>
      </c>
      <c r="P329" s="0" t="n">
        <v>5</v>
      </c>
      <c r="Q329" s="0" t="n">
        <v>5.08</v>
      </c>
      <c r="R329" s="0" t="s">
        <v>1948</v>
      </c>
      <c r="S329" s="0" t="s">
        <v>92</v>
      </c>
      <c r="T329" s="0" t="s">
        <v>26</v>
      </c>
      <c r="U329" s="0" t="s">
        <v>50</v>
      </c>
      <c r="V329" s="0" t="n">
        <f aca="false">(I329/100 + O329/5) / 2</f>
        <v>0.87645</v>
      </c>
      <c r="W329" s="0" t="n">
        <f aca="false">(J329/100 + P329/5) / 2</f>
        <v>0.69415</v>
      </c>
      <c r="X329" s="0" t="n">
        <f aca="false">(K329/100 + Q329/5) / 2</f>
        <v>0.741</v>
      </c>
    </row>
    <row r="330" customFormat="false" ht="12.8" hidden="false" customHeight="false" outlineLevel="0" collapsed="false">
      <c r="A330" s="0" t="s">
        <v>1949</v>
      </c>
      <c r="B330" s="0" t="s">
        <v>1950</v>
      </c>
      <c r="C330" s="0" t="s">
        <v>1951</v>
      </c>
      <c r="D330" s="0" t="s">
        <v>1952</v>
      </c>
      <c r="E330" s="0" t="s">
        <v>1952</v>
      </c>
      <c r="F330" s="0" t="n">
        <v>1</v>
      </c>
      <c r="G330" s="0" t="n">
        <v>1</v>
      </c>
      <c r="H330" s="0" t="n">
        <v>1</v>
      </c>
      <c r="I330" s="0" t="n">
        <v>48.89</v>
      </c>
      <c r="J330" s="0" t="n">
        <v>48.89</v>
      </c>
      <c r="K330" s="0" t="n">
        <v>48.89</v>
      </c>
      <c r="L330" s="0" t="n">
        <v>0.88</v>
      </c>
      <c r="M330" s="0" t="n">
        <v>0.88</v>
      </c>
      <c r="N330" s="0" t="n">
        <v>0.88</v>
      </c>
      <c r="O330" s="0" t="n">
        <v>4.57</v>
      </c>
      <c r="P330" s="0" t="n">
        <v>4.57</v>
      </c>
      <c r="Q330" s="0" t="n">
        <v>4.57</v>
      </c>
      <c r="R330" s="0" t="s">
        <v>26</v>
      </c>
      <c r="S330" s="0" t="s">
        <v>26</v>
      </c>
      <c r="T330" s="0" t="s">
        <v>26</v>
      </c>
      <c r="U330" s="0" t="s">
        <v>54</v>
      </c>
      <c r="V330" s="0" t="n">
        <f aca="false">(I330/100 + O330/5) / 2</f>
        <v>0.70145</v>
      </c>
      <c r="W330" s="0" t="n">
        <f aca="false">(J330/100 + P330/5) / 2</f>
        <v>0.70145</v>
      </c>
      <c r="X330" s="0" t="n">
        <f aca="false">(K330/100 + Q330/5) / 2</f>
        <v>0.70145</v>
      </c>
    </row>
    <row r="331" customFormat="false" ht="12.8" hidden="false" customHeight="false" outlineLevel="0" collapsed="false">
      <c r="A331" s="0" t="s">
        <v>1953</v>
      </c>
      <c r="B331" s="0" t="s">
        <v>1954</v>
      </c>
      <c r="C331" s="0" t="s">
        <v>1955</v>
      </c>
      <c r="D331" s="0" t="s">
        <v>1956</v>
      </c>
      <c r="E331" s="0" t="s">
        <v>1957</v>
      </c>
      <c r="F331" s="0" t="n">
        <v>1</v>
      </c>
      <c r="G331" s="0" t="n">
        <v>1</v>
      </c>
      <c r="H331" s="0" t="n">
        <v>1</v>
      </c>
      <c r="I331" s="0" t="n">
        <v>22.77</v>
      </c>
      <c r="J331" s="0" t="n">
        <v>22.77</v>
      </c>
      <c r="K331" s="0" t="n">
        <v>37.68</v>
      </c>
      <c r="L331" s="0" t="n">
        <v>0.87</v>
      </c>
      <c r="M331" s="0" t="n">
        <v>0.87</v>
      </c>
      <c r="N331" s="0" t="n">
        <v>0.91</v>
      </c>
      <c r="O331" s="0" t="n">
        <v>4.27</v>
      </c>
      <c r="P331" s="0" t="n">
        <v>4.27</v>
      </c>
      <c r="Q331" s="0" t="n">
        <v>4.29</v>
      </c>
      <c r="R331" s="0" t="s">
        <v>1958</v>
      </c>
      <c r="S331" s="0" t="s">
        <v>27</v>
      </c>
      <c r="T331" s="0" t="s">
        <v>26</v>
      </c>
      <c r="U331" s="0" t="s">
        <v>93</v>
      </c>
      <c r="V331" s="0" t="n">
        <f aca="false">(I331/100 + O331/5) / 2</f>
        <v>0.54085</v>
      </c>
      <c r="W331" s="0" t="n">
        <f aca="false">(J331/100 + P331/5) / 2</f>
        <v>0.54085</v>
      </c>
      <c r="X331" s="0" t="n">
        <f aca="false">(K331/100 + Q331/5) / 2</f>
        <v>0.6174</v>
      </c>
    </row>
    <row r="332" customFormat="false" ht="12.8" hidden="false" customHeight="false" outlineLevel="0" collapsed="false">
      <c r="A332" s="0" t="s">
        <v>1959</v>
      </c>
      <c r="B332" s="0" t="s">
        <v>1960</v>
      </c>
      <c r="C332" s="0" t="s">
        <v>1961</v>
      </c>
      <c r="D332" s="0" t="s">
        <v>1962</v>
      </c>
      <c r="E332" s="0" t="s">
        <v>1963</v>
      </c>
      <c r="F332" s="0" t="n">
        <v>0</v>
      </c>
      <c r="G332" s="0" t="n">
        <v>0</v>
      </c>
      <c r="H332" s="0" t="n">
        <v>0</v>
      </c>
      <c r="I332" s="0" t="n">
        <v>54.63</v>
      </c>
      <c r="J332" s="0" t="n">
        <v>10.15</v>
      </c>
      <c r="K332" s="0" t="n">
        <v>100</v>
      </c>
      <c r="L332" s="0" t="n">
        <v>0.87</v>
      </c>
      <c r="M332" s="0" t="n">
        <v>0.79</v>
      </c>
      <c r="N332" s="0" t="n">
        <v>0.98</v>
      </c>
      <c r="O332" s="0" t="n">
        <v>4.28</v>
      </c>
      <c r="P332" s="0" t="n">
        <v>4.15</v>
      </c>
      <c r="Q332" s="0" t="n">
        <v>4.48</v>
      </c>
      <c r="R332" s="0" t="s">
        <v>378</v>
      </c>
      <c r="S332" s="0" t="s">
        <v>378</v>
      </c>
      <c r="T332" s="0" t="s">
        <v>378</v>
      </c>
      <c r="U332" s="0" t="s">
        <v>54</v>
      </c>
      <c r="V332" s="0" t="n">
        <f aca="false">(I332/100 + O332/5) / 2</f>
        <v>0.70115</v>
      </c>
      <c r="W332" s="0" t="n">
        <f aca="false">(J332/100 + P332/5) / 2</f>
        <v>0.46575</v>
      </c>
      <c r="X332" s="0" t="n">
        <f aca="false">(K332/100 + Q332/5) / 2</f>
        <v>0.948</v>
      </c>
    </row>
    <row r="333" customFormat="false" ht="12.8" hidden="false" customHeight="false" outlineLevel="0" collapsed="false">
      <c r="A333" s="0" t="s">
        <v>1964</v>
      </c>
      <c r="B333" s="0" t="s">
        <v>1965</v>
      </c>
      <c r="C333" s="0" t="s">
        <v>1966</v>
      </c>
      <c r="D333" s="0" t="s">
        <v>1967</v>
      </c>
      <c r="E333" s="0" t="s">
        <v>1967</v>
      </c>
      <c r="F333" s="0" t="n">
        <v>1</v>
      </c>
      <c r="G333" s="0" t="n">
        <v>1</v>
      </c>
      <c r="H333" s="0" t="n">
        <v>1</v>
      </c>
      <c r="I333" s="0" t="n">
        <v>52.9</v>
      </c>
      <c r="J333" s="0" t="n">
        <v>100</v>
      </c>
      <c r="K333" s="0" t="n">
        <v>100</v>
      </c>
      <c r="L333" s="0" t="n">
        <v>0.92</v>
      </c>
      <c r="M333" s="0" t="n">
        <v>0.98</v>
      </c>
      <c r="N333" s="0" t="n">
        <v>0.98</v>
      </c>
      <c r="O333" s="0" t="n">
        <v>4.8</v>
      </c>
      <c r="P333" s="0" t="n">
        <v>4.84</v>
      </c>
      <c r="Q333" s="0" t="n">
        <v>4.84</v>
      </c>
      <c r="R333" s="0" t="s">
        <v>579</v>
      </c>
      <c r="S333" s="0" t="s">
        <v>510</v>
      </c>
      <c r="T333" s="0" t="s">
        <v>26</v>
      </c>
      <c r="U333" s="0" t="s">
        <v>93</v>
      </c>
      <c r="V333" s="0" t="n">
        <f aca="false">(I333/100 + O333/5) / 2</f>
        <v>0.7445</v>
      </c>
      <c r="W333" s="0" t="n">
        <f aca="false">(J333/100 + P333/5) / 2</f>
        <v>0.984</v>
      </c>
      <c r="X333" s="0" t="n">
        <f aca="false">(K333/100 + Q333/5) / 2</f>
        <v>0.984</v>
      </c>
    </row>
    <row r="334" customFormat="false" ht="12.8" hidden="false" customHeight="false" outlineLevel="0" collapsed="false">
      <c r="A334" s="0" t="s">
        <v>1968</v>
      </c>
      <c r="B334" s="0" t="s">
        <v>1969</v>
      </c>
      <c r="C334" s="0" t="s">
        <v>1970</v>
      </c>
      <c r="D334" s="0" t="s">
        <v>1971</v>
      </c>
      <c r="E334" s="0" t="s">
        <v>1972</v>
      </c>
      <c r="F334" s="0" t="n">
        <v>0</v>
      </c>
      <c r="G334" s="0" t="n">
        <v>1</v>
      </c>
      <c r="H334" s="0" t="n">
        <v>0</v>
      </c>
      <c r="I334" s="0" t="n">
        <v>39.94</v>
      </c>
      <c r="J334" s="0" t="n">
        <v>65.8</v>
      </c>
      <c r="K334" s="0" t="n">
        <v>31.24</v>
      </c>
      <c r="L334" s="0" t="n">
        <v>0.95</v>
      </c>
      <c r="M334" s="0" t="n">
        <v>0.97</v>
      </c>
      <c r="N334" s="0" t="n">
        <v>0.94</v>
      </c>
      <c r="O334" s="0" t="n">
        <v>4.3</v>
      </c>
      <c r="P334" s="0" t="n">
        <v>4.52</v>
      </c>
      <c r="Q334" s="0" t="n">
        <v>4.38</v>
      </c>
      <c r="R334" s="0" t="s">
        <v>1973</v>
      </c>
      <c r="S334" s="0" t="s">
        <v>1974</v>
      </c>
      <c r="T334" s="0" t="s">
        <v>1975</v>
      </c>
      <c r="U334" s="0" t="s">
        <v>36</v>
      </c>
      <c r="V334" s="0" t="n">
        <f aca="false">(I334/100 + O334/5) / 2</f>
        <v>0.6297</v>
      </c>
      <c r="W334" s="0" t="n">
        <f aca="false">(J334/100 + P334/5) / 2</f>
        <v>0.781</v>
      </c>
      <c r="X334" s="0" t="n">
        <f aca="false">(K334/100 + Q334/5) / 2</f>
        <v>0.5942</v>
      </c>
    </row>
    <row r="335" customFormat="false" ht="12.8" hidden="false" customHeight="false" outlineLevel="0" collapsed="false">
      <c r="A335" s="0" t="s">
        <v>1976</v>
      </c>
      <c r="B335" s="0" t="s">
        <v>1977</v>
      </c>
      <c r="C335" s="0" t="s">
        <v>1977</v>
      </c>
      <c r="D335" s="0" t="s">
        <v>1978</v>
      </c>
      <c r="E335" s="0" t="s">
        <v>1978</v>
      </c>
      <c r="F335" s="0" t="n">
        <v>1</v>
      </c>
      <c r="G335" s="0" t="n">
        <v>1</v>
      </c>
      <c r="H335" s="0" t="n">
        <v>1</v>
      </c>
      <c r="I335" s="0" t="n">
        <v>100</v>
      </c>
      <c r="J335" s="0" t="n">
        <v>100</v>
      </c>
      <c r="K335" s="0" t="n">
        <v>100</v>
      </c>
      <c r="L335" s="0" t="n">
        <v>0.99</v>
      </c>
      <c r="M335" s="0" t="n">
        <v>0.99</v>
      </c>
      <c r="N335" s="0" t="n">
        <v>0.99</v>
      </c>
      <c r="O335" s="0" t="n">
        <v>4.84</v>
      </c>
      <c r="P335" s="0" t="n">
        <v>4.84</v>
      </c>
      <c r="Q335" s="0" t="n">
        <v>4.84</v>
      </c>
      <c r="R335" s="0" t="s">
        <v>26</v>
      </c>
      <c r="S335" s="0" t="s">
        <v>26</v>
      </c>
      <c r="T335" s="0" t="s">
        <v>26</v>
      </c>
      <c r="U335" s="0" t="s">
        <v>54</v>
      </c>
      <c r="V335" s="0" t="n">
        <f aca="false">(I335/100 + O335/5) / 2</f>
        <v>0.984</v>
      </c>
      <c r="W335" s="0" t="n">
        <f aca="false">(J335/100 + P335/5) / 2</f>
        <v>0.984</v>
      </c>
      <c r="X335" s="0" t="n">
        <f aca="false">(K335/100 + Q335/5) / 2</f>
        <v>0.984</v>
      </c>
    </row>
    <row r="336" customFormat="false" ht="12.8" hidden="false" customHeight="false" outlineLevel="0" collapsed="false">
      <c r="A336" s="0" t="s">
        <v>1979</v>
      </c>
      <c r="F336" s="0" t="n">
        <v>298</v>
      </c>
      <c r="G336" s="0" t="n">
        <v>238</v>
      </c>
      <c r="H336" s="0" t="n">
        <v>262</v>
      </c>
      <c r="I336" s="0" t="n">
        <v>74.15</v>
      </c>
      <c r="J336" s="0" t="n">
        <v>67.34</v>
      </c>
      <c r="K336" s="0" t="n">
        <v>53.5</v>
      </c>
      <c r="L336" s="0" t="n">
        <v>0.93</v>
      </c>
      <c r="M336" s="0" t="n">
        <v>0.92</v>
      </c>
      <c r="N336" s="0" t="n">
        <v>0.9</v>
      </c>
      <c r="O336" s="0" t="n">
        <v>4.61</v>
      </c>
      <c r="P336" s="0" t="n">
        <v>4.52</v>
      </c>
      <c r="Q336" s="0" t="n">
        <v>4.45</v>
      </c>
      <c r="R336" s="0" t="s">
        <v>1980</v>
      </c>
      <c r="S336" s="0" t="s">
        <v>1981</v>
      </c>
      <c r="T336" s="0" t="s">
        <v>342</v>
      </c>
      <c r="U336" s="0" t="s">
        <v>93</v>
      </c>
      <c r="V336" s="0" t="n">
        <f aca="false">SUM(V2:V335)</f>
        <v>278.18105</v>
      </c>
      <c r="W336" s="0" t="n">
        <f aca="false">SUM(W2:W335)</f>
        <v>263.96655</v>
      </c>
      <c r="X336" s="0" t="n">
        <f aca="false">SUM(X2:X335)</f>
        <v>238.34895</v>
      </c>
    </row>
    <row r="337" customFormat="false" ht="12.8" hidden="false" customHeight="false" outlineLevel="0" collapsed="false">
      <c r="A337" s="0" t="s">
        <v>1979</v>
      </c>
      <c r="F337" s="0" t="n">
        <v>0.89</v>
      </c>
      <c r="G337" s="0" t="n">
        <v>0.71</v>
      </c>
      <c r="H337" s="0" t="n">
        <v>0.78</v>
      </c>
      <c r="U337" s="0" t="s">
        <v>1982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LibreOffice/25.8.5.2$Linux_X86_64 LibreOffice_project/252c20f6956e3db0b52e6e2f9dda67263513c8fc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pt-PT</dc:language>
  <cp:lastModifiedBy/>
  <dcterms:modified xsi:type="dcterms:W3CDTF">2026-03-25T14:09:07Z</dcterms:modified>
  <cp:revision>3</cp:revision>
  <dc:subject/>
  <dc:title/>
</cp:coreProperties>
</file>